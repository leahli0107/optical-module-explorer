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bd188c8b9640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型号选择器" sheetId="1" r:id="R5c5f4287232d44d7"/>
    <x:sheet xmlns:r="http://schemas.openxmlformats.org/officeDocument/2006/relationships" name="01_架构总表" sheetId="2" r:id="R4899f58143f74087"/>
    <x:sheet xmlns:r="http://schemas.openxmlformats.org/officeDocument/2006/relationships" name="02_通道规则" sheetId="3" r:id="Rdd027ea8e94046a7"/>
    <x:sheet xmlns:r="http://schemas.openxmlformats.org/officeDocument/2006/relationships" name="03_BOM映射" sheetId="4" r:id="R476a12cf60f04b54"/>
    <x:sheet xmlns:r="http://schemas.openxmlformats.org/officeDocument/2006/relationships" name="04_器件库" sheetId="5" r:id="R4ddaca4d4b2f4089"/>
    <x:sheet xmlns:r="http://schemas.openxmlformats.org/officeDocument/2006/relationships" name="05_价格模型" sheetId="6" r:id="Ra2550759d7f24dd2"/>
    <x:sheet xmlns:r="http://schemas.openxmlformats.org/officeDocument/2006/relationships" name="06_厂商库" sheetId="7" r:id="R2387abc5e31549fb"/>
    <x:sheet xmlns:r="http://schemas.openxmlformats.org/officeDocument/2006/relationships" name="07_口径说明" sheetId="8" r:id="Rb38ae702dc2a47b4"/>
    <x:sheet xmlns:r="http://schemas.openxmlformats.org/officeDocument/2006/relationships" name="08_下拉选项" sheetId="9" r:id="Rf1e0d7389e734992"/>
    <x:sheet xmlns:r="http://schemas.openxmlformats.org/officeDocument/2006/relationships" name="09_来源与审计" sheetId="10" r:id="Rfa800fa6297d44fa"/>
    <x:sheet xmlns:r="http://schemas.openxmlformats.org/officeDocument/2006/relationships" name="10_价格区间" sheetId="11" r:id="R18145d957d97471f"/>
  </x:sheets>
  <x:definedNames>
    <x:definedName name="RateOptions">'08_下拉选项'!$A$5:$A$9</x:definedName>
    <x:definedName name="HostLaneOptions">'08_下拉选项'!$B$5:$B$12</x:definedName>
    <x:definedName name="OpticalLaneOptions">'08_下拉选项'!$C$5:$C$12</x:definedName>
    <x:definedName name="PMDOptions">'08_下拉选项'!$D$5:$D$23</x:definedName>
    <x:definedName name="FormFactorOptions">'08_下拉选项'!$E$5:$E$15</x:definedName>
    <x:definedName name="LightSourceOptions">'08_下拉选项'!$F$5:$F$16</x:definedName>
    <x:definedName name="ElectricalArchOptions">'08_下拉选项'!$G$5:$G$11</x:definedName>
    <x:definedName name="ConnectorOptions">'08_下拉选项'!$H$5:$H$20</x:definedName>
    <x:definedName name="MaturityOptions">'08_下拉选项'!$I$5:$I$17</x:definedName>
    <x:definedName name="EvidenceOptions">'08_下拉选项'!$J$5:$J$15</x:definedName>
    <x:definedName name="IssueOptions">'08_下拉选项'!$K$5:$K$7</x:definedName>
    <x:definedName name="PriceStatusOptions">'08_下拉选项'!$L$5:$L$7</x:definedName>
    <x:definedName name="VariantIDOptions">'08_下拉选项'!$M$5:$M$41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$#,##0.00"/>
    <x:numFmt numFmtId="202" formatCode="0%"/>
  </x:numFmts>
  <x:fonts count="26">
    <x:font>
      <x:sz val="11"/>
      <x:name val="Carlito"/>
    </x:font>
    <x:font>
      <x:b/>
      <x:sz val="18"/>
      <x:color rgb="FFFFFFFF"/>
      <x:name val="STKaiti"/>
    </x:font>
    <x:font>
      <x:i/>
      <x:sz val="10"/>
      <x:color rgb="FF12304A"/>
      <x:name val="STKaiti"/>
    </x:font>
    <x:font>
      <x:b/>
      <x:sz val="10"/>
      <x:color rgb="FFFFFFFF"/>
      <x:name val="STKaiti"/>
    </x:font>
    <x:font>
      <x:sz val="10"/>
      <x:color rgb="FF1F2937"/>
      <x:name val="Calibri"/>
    </x:font>
    <x:font>
      <x:sz val="10"/>
      <x:color rgb="FF0000FF"/>
      <x:name val="Calibri"/>
    </x:font>
    <x:font>
      <x:b/>
      <x:sz val="10"/>
      <x:color rgb="FF008000"/>
      <x:name val="STKaiti"/>
    </x:font>
    <x:font>
      <x:sz val="10"/>
      <x:color rgb="FF000000"/>
      <x:name val="Calibri"/>
    </x:font>
    <x:font>
      <x:sz val="10"/>
      <x:color rgb="FFC00000"/>
      <x:name val="Calibri"/>
    </x:font>
    <x:font>
      <x:b/>
      <x:sz val="10"/>
      <x:color rgb="FF0000FF"/>
      <x:name val="Calibri"/>
    </x:font>
    <x:font>
      <x:b/>
      <x:sz val="11"/>
      <x:color rgb="FF000000"/>
      <x:name val="Calibri"/>
    </x:font>
    <x:font>
      <x:b/>
      <x:sz val="11"/>
      <x:color rgb="FF12304A"/>
      <x:name val="STKaiti"/>
    </x:font>
    <x:font>
      <x:sz val="11"/>
      <x:color rgb="FF000000"/>
      <x:name val="Calibri"/>
    </x:font>
    <x:font>
      <x:b/>
      <x:sz val="11"/>
      <x:color rgb="FFFFFFFF"/>
      <x:name val="STKaiti"/>
    </x:font>
    <x:font>
      <x:b/>
      <x:sz val="11"/>
      <x:color rgb="FF12304A"/>
      <x:name val="Calibri"/>
    </x:font>
    <x:font>
      <x:b/>
      <x:sz val="11"/>
      <x:color rgb="FF385723"/>
      <x:name val="Calibri"/>
    </x:font>
    <x:font>
      <x:b/>
      <x:sz val="11"/>
      <x:color rgb="FF385723"/>
      <x:name val="STKaiti"/>
    </x:font>
    <x:font>
      <x:i/>
      <x:sz val="11"/>
      <x:color rgb="FF1F2937"/>
      <x:name val="STKaiti"/>
    </x:font>
    <x:font>
      <x:sz val="11"/>
      <x:color rgb="FFFFFFFF"/>
      <x:name val="Carlito"/>
    </x:font>
    <x:font>
      <x:b/>
      <x:sz val="11"/>
      <x:color rgb="FF008000"/>
      <x:name val="STKaiti"/>
    </x:font>
    <x:font>
      <x:sz val="11"/>
      <x:color rgb="FF0000FF"/>
      <x:name val="Carlito"/>
    </x:font>
    <x:font>
      <x:sz val="11"/>
      <x:color rgb="FFFF0000"/>
      <x:name val="Carlito"/>
    </x:font>
    <x:font>
      <x:b/>
      <x:sz val="15"/>
      <x:color rgb="FFFFFFFF"/>
      <x:name val="Carlito"/>
    </x:font>
    <x:font>
      <x:i/>
      <x:sz val="10"/>
      <x:color rgb="FF173F56"/>
      <x:name val="Carlito"/>
    </x:font>
    <x:font>
      <x:b/>
      <x:sz val="11"/>
      <x:color rgb="FFFFFFFF"/>
      <x:name val="Carlito"/>
    </x:font>
    <x:font>
      <x:sz val="9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BDD7EE"/>
      </x:patternFill>
    </x:fill>
    <x:fill>
      <x:patternFill patternType="solid">
        <x:fgColor rgb="FF1B7F5A"/>
      </x:patternFill>
    </x:fill>
    <x:fill>
      <x:patternFill patternType="solid">
        <x:fgColor rgb="FFC6E0B4"/>
      </x:patternFill>
    </x:fill>
    <x:fill>
      <x:patternFill patternType="solid">
        <x:fgColor rgb="FFF2F2F2"/>
      </x:patternFill>
    </x:fill>
    <x:fill>
      <x:patternFill patternType="solid">
        <x:fgColor rgb="FF0B344D"/>
      </x:patternFill>
    </x:fill>
    <x:fill>
      <x:patternFill patternType="solid">
        <x:fgColor rgb="FFDCECF4"/>
      </x:patternFill>
    </x:fill>
    <x:fill>
      <x:patternFill patternType="solid">
        <x:fgColor rgb="FF165A83"/>
      </x:patternFill>
    </x:fill>
  </x:fills>
  <x:borders count="5">
    <x:border/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bottom style="thin">
        <x:color rgb="FFD7E7EF"/>
      </x:bottom>
    </x:border>
    <x:border>
      <x:top style="thin">
        <x:color rgb="FFD7E7EF"/>
      </x:top>
      <x:bottom style="thin">
        <x:color rgb="FFD7E7EF"/>
      </x:bottom>
    </x:border>
    <x:border>
      <x:top style="thin">
        <x:color rgb="FFD7E7EF"/>
      </x:top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201" fontId="4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202" fontId="5" fillId="5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8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/>
    </x:xf>
    <x:xf numFmtId="0" fontId="9" fillId="5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horizontal="center"/>
    </x:xf>
    <x:xf numFmtId="0" fontId="11" fillId="3" borderId="0" xfId="0" applyNumberFormat="1" applyFont="1" applyFill="1" applyBorder="1"/>
    <x:xf numFmtId="0" fontId="11" fillId="3" borderId="1" xfId="0" applyNumberFormat="1" applyFont="1" applyFill="1" applyBorder="1"/>
    <x:xf numFmtId="0" fontId="11" fillId="3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1" xfId="0" applyNumberFormat="1" applyFont="1" applyFill="1" applyBorder="1"/>
    <x:xf numFmtId="0" fontId="12" fillId="7" borderId="1" xfId="0" applyNumberFormat="1" applyFont="1" applyFill="1" applyBorder="1" applyAlignment="1">
      <x:alignment wrapText="1"/>
    </x:xf>
    <x:xf numFmtId="200" fontId="12" fillId="7" borderId="1" xfId="0" applyNumberFormat="1" applyFont="1" applyFill="1" applyBorder="1" applyAlignment="1">
      <x:alignment wrapText="1"/>
    </x:xf>
    <x:xf numFmtId="0" fontId="13" fillId="4" borderId="0" xfId="0" applyNumberFormat="1" applyFont="1" applyFill="1" applyBorder="1"/>
    <x:xf numFmtId="0" fontId="13" fillId="4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4" fillId="8" borderId="0" xfId="0" applyNumberFormat="1" applyFont="1" applyFill="1" applyBorder="1"/>
    <x:xf numFmtId="0" fontId="14" fillId="8" borderId="0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13" fillId="9" borderId="0" xfId="0" applyNumberFormat="1" applyFont="1" applyFill="1" applyBorder="1"/>
    <x:xf numFmtId="0" fontId="13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15" fillId="10" borderId="0" xfId="0" applyNumberFormat="1" applyFont="1" applyFill="1" applyBorder="1"/>
    <x:xf numFmtId="0" fontId="15" fillId="10" borderId="0" xfId="0" applyNumberFormat="1" applyFont="1" applyFill="1" applyBorder="1" applyAlignment="1">
      <x:alignment horizontal="center"/>
    </x:xf>
    <x:xf numFmtId="0" fontId="16" fillId="6" borderId="0" xfId="0" applyNumberFormat="1" applyFont="1" applyFill="1" applyBorder="1"/>
    <x:xf numFmtId="0" fontId="16" fillId="6" borderId="0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 applyAlignment="1">
      <x:alignment horizontal="center"/>
    </x:xf>
    <x:xf numFmtId="0" fontId="13" fillId="4" borderId="1" xfId="0" applyNumberFormat="1" applyFont="1" applyFill="1" applyBorder="1" applyAlignment="1">
      <x:alignment horizontal="center"/>
    </x:xf>
    <x:xf numFmtId="0" fontId="14" fillId="8" borderId="1" xfId="0" applyNumberFormat="1" applyFont="1" applyFill="1" applyBorder="1" applyAlignment="1">
      <x:alignment horizontal="center"/>
    </x:xf>
    <x:xf numFmtId="0" fontId="11" fillId="5" borderId="1" xfId="0" applyNumberFormat="1" applyFont="1" applyFill="1" applyBorder="1" applyAlignment="1">
      <x:alignment horizontal="center"/>
    </x:xf>
    <x:xf numFmtId="0" fontId="10" fillId="5" borderId="1" xfId="0" applyNumberFormat="1" applyFont="1" applyFill="1" applyBorder="1" applyAlignment="1">
      <x:alignment horizontal="center"/>
    </x:xf>
    <x:xf numFmtId="0" fontId="13" fillId="9" borderId="1" xfId="0" applyNumberFormat="1" applyFont="1" applyFill="1" applyBorder="1" applyAlignment="1">
      <x:alignment horizontal="center"/>
    </x:xf>
    <x:xf numFmtId="0" fontId="15" fillId="10" borderId="1" xfId="0" applyNumberFormat="1" applyFont="1" applyFill="1" applyBorder="1" applyAlignment="1">
      <x:alignment horizontal="center"/>
    </x:xf>
    <x:xf numFmtId="0" fontId="16" fillId="6" borderId="1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17" fillId="11" borderId="0" xfId="0" applyNumberFormat="1" applyFont="1" applyFill="1" applyBorder="1"/>
    <x:xf numFmtId="0" fontId="17" fillId="11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0" fontId="18" fillId="0" borderId="0" xfId="0" applyNumberFormat="1" applyFont="1" applyFill="1" applyBorder="1"/>
    <x:xf numFmtId="0" fontId="19" fillId="6" borderId="0" xfId="0" applyNumberFormat="1" applyFont="1" applyFill="1" applyBorder="1"/>
    <x:xf numFmtId="0" fontId="19" fillId="6" borderId="1" xfId="0" applyNumberFormat="1" applyFont="1" applyFill="1" applyBorder="1"/>
    <x:xf numFmtId="0" fontId="19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20" fillId="0" borderId="0" xfId="0" applyNumberFormat="1" applyFont="1" applyFill="1" applyBorder="1" applyAlignment="1">
      <x:alignment wrapText="1"/>
    </x:xf>
    <x:xf numFmtId="0" fontId="21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2" fillId="12" borderId="0" xfId="0" applyNumberFormat="1" applyFont="1" applyFill="1" applyBorder="1"/>
    <x:xf numFmtId="0" fontId="0" fillId="13" borderId="0" xfId="0" applyNumberFormat="1" applyFont="1" applyFill="1" applyBorder="1"/>
    <x:xf numFmtId="0" fontId="23" fillId="13" borderId="0" xfId="0" applyNumberFormat="1" applyFont="1" applyFill="1" applyBorder="1"/>
    <x:xf numFmtId="0" fontId="0" fillId="14" borderId="0" xfId="0" applyNumberFormat="1" applyFont="1" applyFill="1" applyBorder="1"/>
    <x:xf numFmtId="0" fontId="24" fillId="14" borderId="0" xfId="0" applyNumberFormat="1" applyFont="1" applyFill="1" applyBorder="1"/>
    <x:xf numFmtId="0" fontId="24" fillId="14" borderId="0" xfId="0" applyNumberFormat="1" applyFont="1" applyFill="1" applyBorder="1" applyAlignment="1">
      <x:alignment wrapText="1"/>
    </x:xf>
    <x:xf numFmtId="0" fontId="25" fillId="0" borderId="0" xfId="0" applyNumberFormat="1" applyFont="1" applyFill="1" applyBorder="1"/>
    <x:xf numFmtId="0" fontId="25" fillId="0" borderId="0" xfId="0" applyNumberFormat="1" applyFont="1" applyFill="1" applyBorder="1" applyAlignment="1">
      <x:alignment wrapText="1"/>
    </x:xf>
    <x:xf numFmtId="0" fontId="25" fillId="0" borderId="2" xfId="0" applyNumberFormat="1" applyFont="1" applyFill="1" applyBorder="1" applyAlignment="1">
      <x:alignment wrapText="1"/>
    </x:xf>
    <x:xf numFmtId="0" fontId="25" fillId="0" borderId="3" xfId="0" applyNumberFormat="1" applyFont="1" applyFill="1" applyBorder="1" applyAlignment="1">
      <x:alignment wrapText="1"/>
    </x:xf>
    <x:xf numFmtId="0" fontId="25" fillId="0" borderId="4" xfId="0" applyNumberFormat="1" applyFont="1" applyFill="1" applyBorder="1" applyAlignment="1">
      <x:alignment wrapText="1"/>
    </x:xf>
    <x:xf numFmtId="201" fontId="25" fillId="0" borderId="2" xfId="0" applyNumberFormat="1" applyFont="1" applyFill="1" applyBorder="1" applyAlignment="1">
      <x:alignment wrapText="1"/>
    </x:xf>
    <x:xf numFmtId="201" fontId="25" fillId="0" borderId="3" xfId="0" applyNumberFormat="1" applyFont="1" applyFill="1" applyBorder="1" applyAlignment="1">
      <x:alignment wrapText="1"/>
    </x:xf>
    <x:xf numFmtId="201" fontId="25" fillId="0" borderId="4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ill>
        <x:patternFill patternType="solid">
          <x:bgColor rgb="FFEAF5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850d2e771e4caf" /><Relationship Type="http://schemas.openxmlformats.org/officeDocument/2006/relationships/theme" Target="/xl/theme/theme1.xml" Id="R0c9c6d1352e74cc8" /><Relationship Type="http://schemas.openxmlformats.org/officeDocument/2006/relationships/sharedStrings" Target="/xl/sharedStrings.xml" Id="Rbf68b45eab264da7" /><Relationship Type="http://schemas.openxmlformats.org/officeDocument/2006/relationships/worksheet" Target="/xl/worksheets/sheet1.xml" Id="R5c5f4287232d44d7" /><Relationship Type="http://schemas.openxmlformats.org/officeDocument/2006/relationships/worksheet" Target="/xl/worksheets/sheet2.xml" Id="R4899f58143f74087" /><Relationship Type="http://schemas.openxmlformats.org/officeDocument/2006/relationships/worksheet" Target="/xl/worksheets/sheet3.xml" Id="Rdd027ea8e94046a7" /><Relationship Type="http://schemas.openxmlformats.org/officeDocument/2006/relationships/worksheet" Target="/xl/worksheets/sheet4.xml" Id="R476a12cf60f04b54" /><Relationship Type="http://schemas.openxmlformats.org/officeDocument/2006/relationships/worksheet" Target="/xl/worksheets/sheet5.xml" Id="R4ddaca4d4b2f4089" /><Relationship Type="http://schemas.openxmlformats.org/officeDocument/2006/relationships/worksheet" Target="/xl/worksheets/sheet6.xml" Id="Ra2550759d7f24dd2" /><Relationship Type="http://schemas.openxmlformats.org/officeDocument/2006/relationships/worksheet" Target="/xl/worksheets/sheet7.xml" Id="R2387abc5e31549fb" /><Relationship Type="http://schemas.openxmlformats.org/officeDocument/2006/relationships/worksheet" Target="/xl/worksheets/sheet8.xml" Id="Rb38ae702dc2a47b4" /><Relationship Type="http://schemas.openxmlformats.org/officeDocument/2006/relationships/worksheet" Target="/xl/worksheets/sheet9.xml" Id="Rf1e0d7389e734992" /><Relationship Type="http://schemas.openxmlformats.org/officeDocument/2006/relationships/worksheet" Target="/xl/worksheets/sheet10.xml" Id="Rfa800fa6297d44fa" /><Relationship Type="http://schemas.openxmlformats.org/officeDocument/2006/relationships/worksheet" Target="/xl/worksheets/sheet11.xml" Id="R18145d957d97471f" /></Relationships>
</file>

<file path=xl/tables/table1.xml><?xml version="1.0" encoding="utf-8"?>
<x:table xmlns:x="http://schemas.openxmlformats.org/spreadsheetml/2006/main" id="1" name="ArchitectureTable" displayName="ArchitectureTable" ref="A4:AH41" headerRowCount="1" totalsRowCount="0" totalsRowShown="0">
  <x:tableColumns count="34">
    <x:tableColumn id="1" name="Variant_ID"/>
    <x:tableColumn id="2" name="总速率"/>
    <x:tableColumn id="3" name="产品/通用型号"/>
    <x:tableColumn id="4" name="证据主体"/>
    <x:tableColumn id="5" name="证据属性"/>
    <x:tableColumn id="6" name="Form Factor"/>
    <x:tableColumn id="7" name="主机侧通道"/>
    <x:tableColumn id="8" name="Host Lanes"/>
    <x:tableColumn id="9" name="Host Rate(Gbps/lane)"/>
    <x:tableColumn id="10" name="主机侧编码"/>
    <x:tableColumn id="11" name="光侧通道"/>
    <x:tableColumn id="12" name="Optical Lanes"/>
    <x:tableColumn id="13" name="Optical Rate(Gbps/lane)"/>
    <x:tableColumn id="14" name="光侧组织"/>
    <x:tableColumn id="15" name="PMD/Reach"/>
    <x:tableColumn id="16" name="Reach(m)"/>
    <x:tableColumn id="17" name="Fiber"/>
    <x:tableColumn id="18" name="Wavelength/WDM"/>
    <x:tableColumn id="19" name="Connector"/>
    <x:tableColumn id="20" name="光源/调制"/>
    <x:tableColumn id="21" name="Detector"/>
    <x:tableColumn id="22" name="电架构"/>
    <x:tableColumn id="23" name="DSP/Gearbox"/>
    <x:tableColumn id="24" name="MUX/DEMUX"/>
    <x:tableColumn id="25" name="激光器位置"/>
    <x:tableColumn id="26" name="Cooling"/>
    <x:tableColumn id="27" name="公开功耗(W，典型/最大)"/>
    <x:tableColumn id="28" name="成熟度"/>
    <x:tableColumn id="29" name="2026E ASP($)"/>
    <x:tableColumn id="30" name="价格适用性"/>
    <x:tableColumn id="31" name="价格置信度"/>
    <x:tableColumn id="32" name="Source_ID"/>
    <x:tableColumn id="33" name="Issue Flag"/>
    <x:tableColumn id="34" name="结构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LaneRuleTable" displayName="LaneRuleTable" ref="A4:L11" headerRowCount="1" totalsRowCount="0" totalsRowShown="0">
  <x:tableColumns count="12">
    <x:tableColumn id="1" name="案例"/>
    <x:tableColumn id="2" name="总速率"/>
    <x:tableColumn id="3" name="Host lanes"/>
    <x:tableColumn id="4" name="Optical lanes"/>
    <x:tableColumn id="5" name="是否Gearbox"/>
    <x:tableColumn id="6" name="典型PMD"/>
    <x:tableColumn id="7" name="典型连接器"/>
    <x:tableColumn id="8" name="光源/调制"/>
    <x:tableColumn id="9" name="结构差异"/>
    <x:tableColumn id="10" name="成本/功耗影响"/>
    <x:tableColumn id="11" name="证据"/>
    <x:tableColumn id="12" name="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MMapTable" displayName="BOMMapTable" ref="A4:F1419" headerRowCount="1" totalsRowCount="0" totalsRowShown="0">
  <x:tableColumns count="6">
    <x:tableColumn id="1" name="Variant_ID"/>
    <x:tableColumn id="2" name="Component_ID"/>
    <x:tableColumn id="3" name="数量/通道数"/>
    <x:tableColumn id="4" name="必需性"/>
    <x:tableColumn id="5" name="数量口径"/>
    <x:tableColumn id="6" name="说明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2" name="ComponentLibraryTable" displayName="ComponentLibraryTable" ref="A4:R73" headerRowCount="1" totalsRowCount="0" totalsRowShown="0">
  <x:tableColumns count="18">
    <x:tableColumn id="1" name="Component_ID"/>
    <x:tableColumn id="2" name="层级"/>
    <x:tableColumn id="3" name="类别"/>
    <x:tableColumn id="4" name="有源/无源/混合"/>
    <x:tableColumn id="5" name="器件中文"/>
    <x:tableColumn id="6" name="English"/>
    <x:tableColumn id="7" name="上级器件"/>
    <x:tableColumn id="8" name="外观/结构"/>
    <x:tableColumn id="9" name="核心功能"/>
    <x:tableColumn id="10" name="重要指标"/>
    <x:tableColumn id="11" name="典型单价低($)"/>
    <x:tableColumn id="12" name="典型单价高($)"/>
    <x:tableColumn id="13" name="价格单位"/>
    <x:tableColumn id="14" name="价格状态"/>
    <x:tableColumn id="15" name="主要厂商/生态"/>
    <x:tableColumn id="16" name="Source_ID"/>
    <x:tableColumn id="17" name="置信度"/>
    <x:tableColumn id="18" name="说明"/>
  </x:tableColumns>
  <x:tableStyleInfo name="TableStyleMedium9" showFirstColumn="0" showLastColumn="0" showRowStripes="1" showColumnStripes="0"/>
</x:table>
</file>

<file path=xl/tables/table5.xml><?xml version="1.0" encoding="utf-8"?>
<x:table xmlns:x="http://schemas.openxmlformats.org/spreadsheetml/2006/main" id="5" name="PriceModelTable" displayName="PriceModelTable" ref="A9:L46" headerRowCount="1" totalsRowCount="0" totalsRowShown="0">
  <x:tableColumns count="12">
    <x:tableColumn id="1" name="Variant_ID"/>
    <x:tableColumn id="2" name="总速率"/>
    <x:tableColumn id="3" name="PMD/Reach"/>
    <x:tableColumn id="4" name="电架构"/>
    <x:tableColumn id="5" name="2026E ASP点位($)"/>
    <x:tableColumn id="6" name="模型低端($)"/>
    <x:tableColumn id="7" name="模型高端($)"/>
    <x:tableColumn id="8" name="价格来源/代理"/>
    <x:tableColumn id="9" name="价格适用性"/>
    <x:tableColumn id="10" name="置信度"/>
    <x:tableColumn id="11" name="Source_ID"/>
    <x:tableColumn id="12" name="备注"/>
  </x:tableColumns>
  <x:tableStyleInfo name="TableStyleMedium7" showFirstColumn="0" showLastColumn="0" showRowStripes="1" showColumnStripes="0"/>
</x:table>
</file>

<file path=xl/tables/table6.xml><?xml version="1.0" encoding="utf-8"?>
<x:table xmlns:x="http://schemas.openxmlformats.org/spreadsheetml/2006/main" id="6" name="VendorTable" displayName="VendorTable" ref="A4:G21" headerRowCount="1" totalsRowCount="0" totalsRowShown="0">
  <x:tableColumns count="7">
    <x:tableColumn id="1" name="Vendor_ID"/>
    <x:tableColumn id="2" name="厂商"/>
    <x:tableColumn id="3" name="环节"/>
    <x:tableColumn id="4" name="代表产品/能力"/>
    <x:tableColumn id="5" name="覆盖路线"/>
    <x:tableColumn id="6" name="公开证据边界"/>
    <x:tableColumn id="7" name="Source_ID"/>
  </x:tableColumns>
  <x:tableStyleInfo name="TableStyleMedium5" showFirstColumn="0" showLastColumn="0" showRowStripes="1" showColumnStripes="0"/>
</x:table>
</file>

<file path=xl/tables/table7.xml><?xml version="1.0" encoding="utf-8"?>
<x:table xmlns:x="http://schemas.openxmlformats.org/spreadsheetml/2006/main" id="7" name="SourceAuditTable" displayName="SourceAuditTable" ref="A4:K31" headerRowCount="1" totalsRowCount="0" totalsRowShown="0">
  <x:tableColumns count="11">
    <x:tableColumn id="1" name="Source_ID"/>
    <x:tableColumn id="2" name="机构/主体"/>
    <x:tableColumn id="3" name="类型"/>
    <x:tableColumn id="4" name="日期"/>
    <x:tableColumn id="5" name="标题"/>
    <x:tableColumn id="6" name="URL或本地文件"/>
    <x:tableColumn id="7" name="页码/章节"/>
    <x:tableColumn id="8" name="证据层级"/>
    <x:tableColumn id="9" name="用于支持"/>
    <x:tableColumn id="10" name="置信度"/>
    <x:tableColumn id="11" name="审计备注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0c38b0fc6b49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5d1e0cad6b43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3f1b659d2a4c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c28b64f6a143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85428de79f4a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cbc9a3af954e1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5ecf9a3bf8e149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9" hidden="0" customWidth="1"/>
    <x:col min="4" max="4" width="11" hidden="0" customWidth="1"/>
    <x:col min="5" max="5" width="11" hidden="0" customWidth="1"/>
    <x:col min="6" max="6" width="19" hidden="0" customWidth="1"/>
    <x:col min="7" max="7" width="11" hidden="0" customWidth="1"/>
    <x:col min="8" max="8" width="11" hidden="0" customWidth="1"/>
    <x:col min="9" max="9" width="19" hidden="0" customWidth="1"/>
    <x:col min="10" max="10" width="11" hidden="0" customWidth="1"/>
    <x:col min="11" max="11" width="11" hidden="0" customWidth="1"/>
    <x:col min="12" max="12" width="19" hidden="0" customWidth="1"/>
    <x:col min="13" max="13" width="11" hidden="0" customWidth="1"/>
    <x:col min="14" max="14" width="11" hidden="0" customWidth="1"/>
    <x:col min="15" max="15" width="2" hidden="0" customWidth="1"/>
  </x:cols>
  <x:sheetData>
    <x:row r="1" ht="32" customHeight="1">
      <x:c r="A1" s="4" t="str">
        <x:v>400G-3.2T光模块型号选择器</x:v>
      </x:c>
      <x:c r="B1" s="4" t="str">
        <x:v>400G-3.2T光模块型号选择器</x:v>
      </x:c>
      <x:c r="C1" s="4" t="str">
        <x:v>400G-3.2T光模块型号选择器</x:v>
      </x:c>
      <x:c r="D1" s="4" t="str">
        <x:v>400G-3.2T光模块型号选择器</x:v>
      </x:c>
      <x:c r="E1" s="4" t="str">
        <x:v>400G-3.2T光模块型号选择器</x:v>
      </x:c>
      <x:c r="F1" s="4" t="str">
        <x:v>400G-3.2T光模块型号选择器</x:v>
      </x:c>
      <x:c r="G1" s="4" t="str">
        <x:v>400G-3.2T光模块型号选择器</x:v>
      </x:c>
      <x:c r="H1" s="4" t="str">
        <x:v>400G-3.2T光模块型号选择器</x:v>
      </x:c>
      <x:c r="I1" s="4" t="str">
        <x:v>400G-3.2T光模块型号选择器</x:v>
      </x:c>
      <x:c r="J1" s="4" t="str">
        <x:v>400G-3.2T光模块型号选择器</x:v>
      </x:c>
      <x:c r="K1" s="4" t="str">
        <x:v>400G-3.2T光模块型号选择器</x:v>
      </x:c>
      <x:c r="L1" s="4" t="str">
        <x:v>400G-3.2T光模块型号选择器</x:v>
      </x:c>
      <x:c r="M1" s="4" t="str">
        <x:v>400G-3.2T光模块型号选择器</x:v>
      </x:c>
      <x:c r="N1" s="4" t="str">
        <x:v>400G-3.2T光模块型号选择器</x:v>
      </x:c>
    </x:row>
    <x:row r="2" ht="28" customHeight="1">
      <x:c r="A2" s="7" t="str">
        <x:v>先选速率，再分别选择Host lanes和Optical lanes；黄色为输入，黑色为公式，蓝色为底稿硬编码，绿色为工作簿内导航</x:v>
      </x:c>
      <x:c r="B2" s="7" t="str">
        <x:v>先选速率，再分别选择Host lanes和Optical lanes；黄色为输入，黑色为公式，蓝色为底稿硬编码，绿色为工作簿内导航</x:v>
      </x:c>
      <x:c r="C2" s="7" t="str">
        <x:v>先选速率，再分别选择Host lanes和Optical lanes；黄色为输入，黑色为公式，蓝色为底稿硬编码，绿色为工作簿内导航</x:v>
      </x:c>
      <x:c r="D2" s="7" t="str">
        <x:v>先选速率，再分别选择Host lanes和Optical lanes；黄色为输入，黑色为公式，蓝色为底稿硬编码，绿色为工作簿内导航</x:v>
      </x:c>
      <x:c r="E2" s="7" t="str">
        <x:v>先选速率，再分别选择Host lanes和Optical lanes；黄色为输入，黑色为公式，蓝色为底稿硬编码，绿色为工作簿内导航</x:v>
      </x:c>
      <x:c r="F2" s="7" t="str">
        <x:v>先选速率，再分别选择Host lanes和Optical lanes；黄色为输入，黑色为公式，蓝色为底稿硬编码，绿色为工作簿内导航</x:v>
      </x:c>
      <x:c r="G2" s="7" t="str">
        <x:v>先选速率，再分别选择Host lanes和Optical lanes；黄色为输入，黑色为公式，蓝色为底稿硬编码，绿色为工作簿内导航</x:v>
      </x:c>
      <x:c r="H2" s="7" t="str">
        <x:v>先选速率，再分别选择Host lanes和Optical lanes；黄色为输入，黑色为公式，蓝色为底稿硬编码，绿色为工作簿内导航</x:v>
      </x:c>
      <x:c r="I2" s="7" t="str">
        <x:v>先选速率，再分别选择Host lanes和Optical lanes；黄色为输入，黑色为公式，蓝色为底稿硬编码，绿色为工作簿内导航</x:v>
      </x:c>
      <x:c r="J2" s="7" t="str">
        <x:v>先选速率，再分别选择Host lanes和Optical lanes；黄色为输入，黑色为公式，蓝色为底稿硬编码，绿色为工作簿内导航</x:v>
      </x:c>
      <x:c r="K2" s="7" t="str">
        <x:v>先选速率，再分别选择Host lanes和Optical lanes；黄色为输入，黑色为公式，蓝色为底稿硬编码，绿色为工作簿内导航</x:v>
      </x:c>
      <x:c r="L2" s="7" t="str">
        <x:v>先选速率，再分别选择Host lanes和Optical lanes；黄色为输入，黑色为公式，蓝色为底稿硬编码，绿色为工作簿内导航</x:v>
      </x:c>
      <x:c r="M2" s="7" t="str">
        <x:v>先选速率，再分别选择Host lanes和Optical lanes；黄色为输入，黑色为公式，蓝色为底稿硬编码，绿色为工作簿内导航</x:v>
      </x:c>
      <x:c r="N2" s="7" t="str">
        <x:v>先选速率，再分别选择Host lanes和Optical lanes；黄色为输入，黑色为公式，蓝色为底稿硬编码，绿色为工作簿内导航</x:v>
      </x:c>
    </x:row>
    <x:row r="4">
      <x:c r="A4" s="31" t="str">
        <x:v>总速率</x:v>
      </x:c>
      <x:c r="B4" s="31" t="str"/>
      <x:c r="C4" s="33" t="str">
        <x:v>800G</x:v>
      </x:c>
      <x:c r="D4" s="31" t="str">
        <x:v>Host lanes</x:v>
      </x:c>
      <x:c r="E4" s="31" t="str">
        <x:v>Host lanes</x:v>
      </x:c>
      <x:c r="F4" s="33" t="str">
        <x:v>全部</x:v>
      </x:c>
      <x:c r="G4" s="31" t="str">
        <x:v>Optical lanes</x:v>
      </x:c>
      <x:c r="H4" s="31" t="str">
        <x:v>Optical lanes</x:v>
      </x:c>
      <x:c r="I4" s="33" t="str">
        <x:v>全部</x:v>
      </x:c>
      <x:c r="J4" s="31" t="str">
        <x:v>PMD/Reach</x:v>
      </x:c>
      <x:c r="K4" s="31" t="str">
        <x:v>PMD/Reach</x:v>
      </x:c>
      <x:c r="L4" s="33" t="str">
        <x:v>全部</x:v>
      </x:c>
      <x:c r="M4" s="31" t="str"/>
      <x:c r="N4" s="31" t="str"/>
    </x:row>
    <x:row r="7">
      <x:c r="A7" s="31" t="str">
        <x:v>Form Factor</x:v>
      </x:c>
      <x:c r="B7" s="31" t="str"/>
      <x:c r="C7" s="33" t="str">
        <x:v>全部</x:v>
      </x:c>
      <x:c r="D7" s="31" t="str">
        <x:v>光源/调制</x:v>
      </x:c>
      <x:c r="E7" s="31" t="str">
        <x:v>光源/调制</x:v>
      </x:c>
      <x:c r="F7" s="33" t="str">
        <x:v>全部</x:v>
      </x:c>
      <x:c r="G7" s="31" t="str">
        <x:v>电架构</x:v>
      </x:c>
      <x:c r="H7" s="31" t="str">
        <x:v>电架构</x:v>
      </x:c>
      <x:c r="I7" s="33" t="str">
        <x:v>全部</x:v>
      </x:c>
      <x:c r="J7" s="31" t="str">
        <x:v>Connector</x:v>
      </x:c>
      <x:c r="K7" s="31" t="str">
        <x:v>Connector</x:v>
      </x:c>
      <x:c r="L7" s="33" t="str">
        <x:v>全部</x:v>
      </x:c>
      <x:c r="M7" s="31" t="str"/>
      <x:c r="N7" s="31" t="str"/>
    </x:row>
    <x:row r="10">
      <x:c r="A10" s="31" t="str">
        <x:v>成熟度</x:v>
      </x:c>
      <x:c r="B10" s="31" t="str"/>
      <x:c r="C10" s="33" t="str">
        <x:v>全部</x:v>
      </x:c>
      <x:c r="D10" s="31" t="str">
        <x:v>证据属性</x:v>
      </x:c>
      <x:c r="E10" s="31" t="str">
        <x:v>证据属性</x:v>
      </x:c>
      <x:c r="F10" s="33" t="str">
        <x:v>全部</x:v>
      </x:c>
      <x:c r="G10" s="31" t="str">
        <x:v>Issue Flag</x:v>
      </x:c>
      <x:c r="H10" s="31" t="str">
        <x:v>Issue Flag</x:v>
      </x:c>
      <x:c r="I10" s="33" t="str">
        <x:v>全部</x:v>
      </x:c>
      <x:c r="J10" s="31" t="str">
        <x:v>价格状态</x:v>
      </x:c>
      <x:c r="K10" s="31" t="str">
        <x:v>价格状态</x:v>
      </x:c>
      <x:c r="L10" s="33" t="str">
        <x:v>全部</x:v>
      </x:c>
      <x:c r="M10" s="31" t="str"/>
      <x:c r="N10" s="31" t="str"/>
    </x:row>
    <x:row r="13">
      <x:c r="A13" s="13" t="str">
        <x:v>选中型号详情</x:v>
      </x:c>
      <x:c r="B13" s="13" t="str">
        <x:v>选中型号详情</x:v>
      </x:c>
      <x:c r="C13" s="13" t="str">
        <x:v>选中型号详情</x:v>
      </x:c>
      <x:c r="D13" s="13" t="str">
        <x:v>选中型号详情</x:v>
      </x:c>
      <x:c r="E13" s="13" t="str">
        <x:v>选中型号详情</x:v>
      </x:c>
      <x:c r="F13" s="13" t="str">
        <x:v>选中型号详情</x:v>
      </x:c>
      <x:c r="G13" s="13" t="str">
        <x:v>选中型号详情</x:v>
      </x:c>
      <x:c r="H13" s="13" t="str">
        <x:v>选中型号详情</x:v>
      </x:c>
      <x:c r="I13" s="13" t="str">
        <x:v>选中型号详情</x:v>
      </x:c>
      <x:c r="J13" s="13" t="str">
        <x:v>选中型号详情</x:v>
      </x:c>
      <x:c r="K13" s="13" t="str">
        <x:v>选中型号详情</x:v>
      </x:c>
      <x:c r="L13" s="13" t="str">
        <x:v>选中型号详情</x:v>
      </x:c>
      <x:c r="M13" s="13" t="str">
        <x:v>选中型号详情</x:v>
      </x:c>
      <x:c r="N13" s="13" t="str">
        <x:v>选中型号详情</x:v>
      </x:c>
    </x:row>
    <x:row r="14">
      <x:c r="A14" s="43" t="str">
        <x:v>Variant_ID</x:v>
      </x:c>
      <x:c r="B14" s="43" t="str">
        <x:v>Variant_ID</x:v>
      </x:c>
      <x:c r="C14" s="33" t="str">
        <x:v>800-O112-DR4-8E4O-dEML</x:v>
      </x:c>
      <x:c r="G14" t="str">
        <x:v>匹配数量</x:v>
      </x:c>
      <x:c r="H14" t="str">
        <x:v>匹配数量</x:v>
      </x:c>
      <x:c r="I14" s="40" t="n">
        <x:f>SUM(IF(O29&lt;&gt;"",1,0),IF(O30&lt;&gt;"",1,0),IF(O31&lt;&gt;"",1,0),IF(O32&lt;&gt;"",1,0),IF(O33&lt;&gt;"",1,0),IF(O34&lt;&gt;"",1,0),IF(O35&lt;&gt;"",1,0),IF(O36&lt;&gt;"",1,0),IF(O37&lt;&gt;"",1,0),IF(O38&lt;&gt;"",1,0),IF(O39&lt;&gt;"",1,0),IF(O40&lt;&gt;"",1,0),IF(O41&lt;&gt;"",1,0),IF(O42&lt;&gt;"",1,0),IF(O43&lt;&gt;"",1,0),IF(O44&lt;&gt;"",1,0),IF(O45&lt;&gt;"",1,0),IF(O46&lt;&gt;"",1,0),IF(O47&lt;&gt;"",1,0),IF(O48&lt;&gt;"",1,0),IF(O49&lt;&gt;"",1,0),IF(O50&lt;&gt;"",1,0),IF(O51&lt;&gt;"",1,0),IF(O52&lt;&gt;"",1,0),IF(O53&lt;&gt;"",1,0),IF(O54&lt;&gt;"",1,0),IF(O55&lt;&gt;"",1,0),IF(O56&lt;&gt;"",1,0),IF(O57&lt;&gt;"",1,0),IF(O58&lt;&gt;"",1,0),IF(O59&lt;&gt;"",1,0),IF(O60&lt;&gt;"",1,0),IF(O61&lt;&gt;"",1,0),IF(O62&lt;&gt;"",1,0),IF(O63&lt;&gt;"",1,0),IF(O64&lt;&gt;"",1,0),IF(O65&lt;&gt;"",1,0))</x:f>
        <x:v>11</x:v>
      </x:c>
      <x:c r="J14" s="40"/>
      <x:c r="L14" s="81" t="str">
        <x:v>→ 查看‘03_BOM映射’工作表</x:v>
      </x:c>
      <x:c r="M14" s="81"/>
      <x:c r="N14" s="81"/>
    </x:row>
    <x:row r="16">
      <x:c r="A16" s="43" t="str">
        <x:v>产品/型号</x:v>
      </x:c>
      <x:c r="B16" s="43" t="str">
        <x:v>产品/型号</x:v>
      </x:c>
      <x:c r="C16" s="47" t="str">
        <x:f>IFERROR(INDEX('01_架构总表'!$C$5:$C$41,MATCH($C$14,'01_架构总表'!$A$5:$A$41,0)),"")</x:f>
        <x:v>800G-DR4 4×200G optics</x:v>
      </x:c>
      <x:c r="D16" s="47"/>
      <x:c r="E16" s="47"/>
      <x:c r="F16" s="47"/>
      <x:c r="G16" s="43" t="str">
        <x:v>证据主体/属性</x:v>
      </x:c>
      <x:c r="H16" s="43" t="str">
        <x:v>证据主体/属性</x:v>
      </x:c>
      <x:c r="I16" s="47" t="str">
        <x:f>IFERROR(INDEX('01_架构总表'!$D$5:$D$41,MATCH($C$14,'01_架构总表'!$A$5:$A$41,0))&amp;" / "&amp;INDEX('01_架构总表'!$E$5:$E$41,MATCH($C$14,'01_架构总表'!$A$5:$A$41,0)),"")</x:f>
        <x:v>Coherent / 公开演示/产品路线</x:v>
      </x:c>
      <x:c r="J16" s="47"/>
      <x:c r="K16" s="47"/>
      <x:c r="L16" s="47"/>
      <x:c r="M16" s="47"/>
      <x:c r="N16" s="47"/>
    </x:row>
    <x:row r="17">
      <x:c r="A17" s="43" t="str">
        <x:v>Form Factor</x:v>
      </x:c>
      <x:c r="B17" s="43" t="str">
        <x:v>Form Factor</x:v>
      </x:c>
      <x:c r="C17" s="47" t="str">
        <x:f>IFERROR(INDEX('01_架构总表'!$F$5:$F$41,MATCH($C$14,'01_架构总表'!$A$5:$A$41,0)),"")</x:f>
        <x:v>OSFP112</x:v>
      </x:c>
      <x:c r="D17" s="47"/>
      <x:c r="E17" s="47"/>
      <x:c r="F17" s="47"/>
      <x:c r="G17" s="43" t="str">
        <x:v>成熟度</x:v>
      </x:c>
      <x:c r="H17" s="43" t="str">
        <x:v>成熟度</x:v>
      </x:c>
      <x:c r="I17" s="47" t="str">
        <x:f>IFERROR(INDEX('01_架构总表'!$AB$5:$AB$41,MATCH($C$14,'01_架构总表'!$A$5:$A$41,0)),"")</x:f>
        <x:v>演示/导入</x:v>
      </x:c>
      <x:c r="J17" s="47"/>
      <x:c r="K17" s="47"/>
      <x:c r="L17" s="47"/>
      <x:c r="M17" s="47"/>
      <x:c r="N17" s="47"/>
    </x:row>
    <x:row r="18">
      <x:c r="A18" s="43" t="str">
        <x:v>主机侧通道</x:v>
      </x:c>
      <x:c r="B18" s="43" t="str">
        <x:v>主机侧通道</x:v>
      </x:c>
      <x:c r="C18" s="47" t="str">
        <x:f>IFERROR(INDEX('01_架构总表'!$G$5:$G$41,MATCH($C$14,'01_架构总表'!$A$5:$A$41,0)),"")</x:f>
        <x:v>8×100G</x:v>
      </x:c>
      <x:c r="D18" s="47"/>
      <x:c r="E18" s="47"/>
      <x:c r="F18" s="47"/>
      <x:c r="G18" s="43" t="str">
        <x:v>光侧通道</x:v>
      </x:c>
      <x:c r="H18" s="43" t="str">
        <x:v>光侧通道</x:v>
      </x:c>
      <x:c r="I18" s="47" t="str">
        <x:f>IFERROR(INDEX('01_架构总表'!$K$5:$K$41,MATCH($C$14,'01_架构总表'!$A$5:$A$41,0)),"")</x:f>
        <x:v>4×200G</x:v>
      </x:c>
      <x:c r="J18" s="47"/>
      <x:c r="K18" s="47"/>
      <x:c r="L18" s="47"/>
      <x:c r="M18" s="47"/>
      <x:c r="N18" s="47"/>
    </x:row>
    <x:row r="19">
      <x:c r="A19" s="43" t="str">
        <x:v>PMD/Reach</x:v>
      </x:c>
      <x:c r="B19" s="43" t="str">
        <x:v>PMD/Reach</x:v>
      </x:c>
      <x:c r="C19" s="47" t="str">
        <x:f>IFERROR(INDEX('01_架构总表'!$O$5:$O$41,MATCH($C$14,'01_架构总表'!$A$5:$A$41,0)),"")</x:f>
        <x:v>DR4/500m</x:v>
      </x:c>
      <x:c r="D19" s="47"/>
      <x:c r="E19" s="47"/>
      <x:c r="F19" s="47"/>
      <x:c r="G19" s="43" t="str">
        <x:v>Connector</x:v>
      </x:c>
      <x:c r="H19" s="43" t="str">
        <x:v>Connector</x:v>
      </x:c>
      <x:c r="I19" s="47" t="str">
        <x:f>IFERROR(INDEX('01_架构总表'!$S$5:$S$41,MATCH($C$14,'01_架构总表'!$A$5:$A$41,0)),"")</x:f>
        <x:v>MPO12</x:v>
      </x:c>
      <x:c r="J19" s="47"/>
      <x:c r="K19" s="47"/>
      <x:c r="L19" s="47"/>
      <x:c r="M19" s="47"/>
      <x:c r="N19" s="47"/>
    </x:row>
    <x:row r="20">
      <x:c r="A20" s="43" t="str">
        <x:v>光源/调制</x:v>
      </x:c>
      <x:c r="B20" s="43" t="str">
        <x:v>光源/调制</x:v>
      </x:c>
      <x:c r="C20" s="47" t="str">
        <x:f>IFERROR(INDEX('01_架构总表'!$T$5:$T$41,MATCH($C$14,'01_架构总表'!$A$5:$A$41,0)),"")</x:f>
        <x:v>Differential EML</x:v>
      </x:c>
      <x:c r="D20" s="47"/>
      <x:c r="E20" s="47"/>
      <x:c r="F20" s="47"/>
      <x:c r="G20" s="43" t="str">
        <x:v>电架构/DSP</x:v>
      </x:c>
      <x:c r="H20" s="43" t="str">
        <x:v>电架构/DSP</x:v>
      </x:c>
      <x:c r="I20" s="47" t="str">
        <x:f>IFERROR(INDEX('01_架构总表'!$V$5:$V$41,MATCH($C$14,'01_架构总表'!$A$5:$A$41,0))&amp;" / "&amp;INDEX('01_架构总表'!$W$5:$W$41,MATCH($C$14,'01_架构总表'!$A$5:$A$41,0)),"")</x:f>
        <x:v>Retimed / 含DSP/Gearbox</x:v>
      </x:c>
      <x:c r="J20" s="47"/>
      <x:c r="K20" s="47"/>
      <x:c r="L20" s="47"/>
      <x:c r="M20" s="47"/>
      <x:c r="N20" s="47"/>
    </x:row>
    <x:row r="21">
      <x:c r="A21" s="43" t="str">
        <x:v>2026E ASP</x:v>
      </x:c>
      <x:c r="B21" s="43" t="str">
        <x:v>2026E ASP</x:v>
      </x:c>
      <x:c r="C21" s="48" t="n">
        <x:f>IFERROR(INDEX('01_架构总表'!$AC$5:$AC$41,MATCH($C$14,'01_架构总表'!$A$5:$A$41,0)),"")</x:f>
        <x:v>270</x:v>
      </x:c>
      <x:c r="D21" s="48"/>
      <x:c r="E21" s="48"/>
      <x:c r="F21" s="48"/>
      <x:c r="G21" s="43" t="str">
        <x:v>价格边界</x:v>
      </x:c>
      <x:c r="H21" s="43" t="str">
        <x:v>价格边界</x:v>
      </x:c>
      <x:c r="I21" s="47" t="str">
        <x:f>IFERROR(INDEX('01_架构总表'!$AD$5:$AD$41,MATCH($C$14,'01_架构总表'!$A$5:$A$41,0)),"")</x:f>
        <x:v>LightCounting 800G DR4 4×200 ASP</x:v>
      </x:c>
      <x:c r="J21" s="47"/>
      <x:c r="K21" s="47"/>
      <x:c r="L21" s="47"/>
      <x:c r="M21" s="47"/>
      <x:c r="N21" s="47"/>
    </x:row>
    <x:row r="22" ht="42" customHeight="1">
      <x:c r="A22" s="43" t="str">
        <x:v>Issue Flag</x:v>
      </x:c>
      <x:c r="B22" s="43" t="str">
        <x:v>Issue Flag</x:v>
      </x:c>
      <x:c r="C22" s="47" t="str">
        <x:f>IFERROR(INDEX('01_架构总表'!$AG$5:$AG$41,MATCH($C$14,'01_架构总表'!$A$5:$A$41,0)),"")</x:f>
      </x:c>
      <x:c r="D22" s="47"/>
      <x:c r="E22" s="47"/>
      <x:c r="F22" s="47"/>
      <x:c r="G22" s="43" t="str">
        <x:v>结构说明</x:v>
      </x:c>
      <x:c r="H22" s="43" t="str">
        <x:v>结构说明</x:v>
      </x:c>
      <x:c r="I22" s="47" t="str">
        <x:f>IFERROR(INDEX('01_架构总表'!$AH$5:$AH$41,MATCH($C$14,'01_架构总表'!$A$5:$A$41,0)),"")</x:f>
        <x:v>关键示例：8×100G电侧经gearbox转换为4×200G光侧</x:v>
      </x:c>
      <x:c r="J22" s="47"/>
      <x:c r="K22" s="47"/>
      <x:c r="L22" s="47"/>
      <x:c r="M22" s="47"/>
      <x:c r="N22" s="47"/>
    </x:row>
    <x:row r="24">
      <x:c r="A24" s="13" t="str">
        <x:v>通道结构示意</x:v>
      </x:c>
      <x:c r="B24" s="13" t="str">
        <x:v>通道结构示意</x:v>
      </x:c>
      <x:c r="C24" s="13" t="str">
        <x:v>通道结构示意</x:v>
      </x:c>
      <x:c r="D24" s="13" t="str">
        <x:v>通道结构示意</x:v>
      </x:c>
      <x:c r="E24" s="13" t="str">
        <x:v>通道结构示意</x:v>
      </x:c>
      <x:c r="F24" s="13" t="str">
        <x:v>通道结构示意</x:v>
      </x:c>
      <x:c r="G24" s="13" t="str">
        <x:v>通道结构示意</x:v>
      </x:c>
      <x:c r="H24" s="13" t="str">
        <x:v>通道结构示意</x:v>
      </x:c>
      <x:c r="I24" s="13" t="str">
        <x:v>通道结构示意</x:v>
      </x:c>
      <x:c r="J24" s="13" t="str">
        <x:v>通道结构示意</x:v>
      </x:c>
      <x:c r="K24" s="13" t="str">
        <x:v>通道结构示意</x:v>
      </x:c>
      <x:c r="L24" s="13" t="str">
        <x:v>通道结构示意</x:v>
      </x:c>
      <x:c r="M24" s="13" t="str">
        <x:v>通道结构示意</x:v>
      </x:c>
      <x:c r="N24" s="13" t="str">
        <x:v>通道结构示意</x:v>
      </x:c>
    </x:row>
    <x:row r="25">
      <x:c r="A25" s="67" t="str">
        <x:v>Host</x:v>
      </x:c>
      <x:c r="B25" s="67" t="str">
        <x:v>Host</x:v>
      </x:c>
      <x:c r="C25" s="68" t="str">
        <x:f>C18</x:f>
        <x:v>8×100G</x:v>
      </x:c>
      <x:c r="D25" s="68"/>
      <x:c r="E25" s="68"/>
      <x:c r="F25" s="68"/>
      <x:c r="G25" s="68"/>
      <x:c r="H25" s="68"/>
      <x:c r="I25" s="69" t="str">
        <x:v>Gearbox</x:v>
      </x:c>
      <x:c r="J25" s="69" t="str">
        <x:v>Gearbox</x:v>
      </x:c>
      <x:c r="K25" s="70" t="str">
        <x:f>IF(OR(C18="",I18=""),"",IF(C18=I18,"1:1 / 无lane转换","lane转换"))</x:f>
        <x:v>lane转换</x:v>
      </x:c>
      <x:c r="L25" s="70"/>
      <x:c r="M25" s="70"/>
      <x:c r="N25" s="70"/>
    </x:row>
    <x:row r="26">
      <x:c r="A26" s="71" t="str">
        <x:v>Optical</x:v>
      </x:c>
      <x:c r="B26" s="71" t="str">
        <x:v>Optical</x:v>
      </x:c>
      <x:c r="C26" s="72" t="str">
        <x:f>I18</x:f>
        <x:v>4×200G</x:v>
      </x:c>
      <x:c r="D26" s="72"/>
      <x:c r="E26" s="72"/>
      <x:c r="F26" s="72"/>
      <x:c r="G26" s="72"/>
      <x:c r="H26" s="72"/>
      <x:c r="I26" s="73" t="str">
        <x:v>PMD</x:v>
      </x:c>
      <x:c r="J26" s="73" t="str">
        <x:v>PMD</x:v>
      </x:c>
      <x:c r="K26" s="40" t="str">
        <x:f>C19</x:f>
        <x:v>DR4/500m</x:v>
      </x:c>
      <x:c r="L26" s="40"/>
      <x:c r="M26" s="40"/>
      <x:c r="N26" s="40"/>
    </x:row>
    <x:row r="28" ht="32" customHeight="1">
      <x:c r="A28" s="76" t="str">
        <x:v>筛选结果：空白行表示该底稿行不满足筛选条件，可直接到‘01_架构总表’使用Excel筛选获得连续列表</x:v>
      </x:c>
      <x:c r="B28" s="76" t="str">
        <x:v>筛选结果：空白行表示该底稿行不满足筛选条件，可直接到‘01_架构总表’使用Excel筛选获得连续列表</x:v>
      </x:c>
      <x:c r="C28" s="76" t="str">
        <x:v>筛选结果：空白行表示该底稿行不满足筛选条件，可直接到‘01_架构总表’使用Excel筛选获得连续列表</x:v>
      </x:c>
      <x:c r="D28" s="76" t="str">
        <x:v>筛选结果：空白行表示该底稿行不满足筛选条件，可直接到‘01_架构总表’使用Excel筛选获得连续列表</x:v>
      </x:c>
      <x:c r="E28" s="76" t="str">
        <x:v>筛选结果：空白行表示该底稿行不满足筛选条件，可直接到‘01_架构总表’使用Excel筛选获得连续列表</x:v>
      </x:c>
      <x:c r="F28" s="76" t="str">
        <x:v>筛选结果：空白行表示该底稿行不满足筛选条件，可直接到‘01_架构总表’使用Excel筛选获得连续列表</x:v>
      </x:c>
      <x:c r="G28" s="76" t="str">
        <x:v>筛选结果：空白行表示该底稿行不满足筛选条件，可直接到‘01_架构总表’使用Excel筛选获得连续列表</x:v>
      </x:c>
      <x:c r="H28" s="76" t="str">
        <x:v>筛选结果：空白行表示该底稿行不满足筛选条件，可直接到‘01_架构总表’使用Excel筛选获得连续列表</x:v>
      </x:c>
      <x:c r="I28" s="76" t="str">
        <x:v>筛选结果：空白行表示该底稿行不满足筛选条件，可直接到‘01_架构总表’使用Excel筛选获得连续列表</x:v>
      </x:c>
      <x:c r="J28" s="76" t="str">
        <x:v>筛选结果：空白行表示该底稿行不满足筛选条件，可直接到‘01_架构总表’使用Excel筛选获得连续列表</x:v>
      </x:c>
      <x:c r="K28" s="76" t="str">
        <x:v>筛选结果：空白行表示该底稿行不满足筛选条件，可直接到‘01_架构总表’使用Excel筛选获得连续列表</x:v>
      </x:c>
      <x:c r="L28" s="76" t="str">
        <x:v>筛选结果：空白行表示该底稿行不满足筛选条件，可直接到‘01_架构总表’使用Excel筛选获得连续列表</x:v>
      </x:c>
      <x:c r="M28" s="76" t="str">
        <x:v>筛选结果：空白行表示该底稿行不满足筛选条件，可直接到‘01_架构总表’使用Excel筛选获得连续列表</x:v>
      </x:c>
      <x:c r="N28" s="76" t="str">
        <x:v>筛选结果：空白行表示该底稿行不满足筛选条件，可直接到‘01_架构总表’使用Excel筛选获得连续列表</x:v>
      </x:c>
    </x:row>
    <x:row r="29">
      <x:c r="A29" s="13" t="str">
        <x:v>Variant_ID</x:v>
      </x:c>
      <x:c r="B29" s="13" t="str">
        <x:v>总速率</x:v>
      </x:c>
      <x:c r="C29" s="13" t="str">
        <x:v>型号</x:v>
      </x:c>
      <x:c r="D29" s="13" t="str">
        <x:v>Form Factor</x:v>
      </x:c>
      <x:c r="E29" s="13" t="str">
        <x:v>Host lanes</x:v>
      </x:c>
      <x:c r="F29" s="13" t="str">
        <x:v>Optical lanes</x:v>
      </x:c>
      <x:c r="G29" s="13" t="str">
        <x:v>PMD</x:v>
      </x:c>
      <x:c r="H29" s="13" t="str">
        <x:v>光源/调制</x:v>
      </x:c>
      <x:c r="I29" s="13" t="str">
        <x:v>电架构</x:v>
      </x:c>
      <x:c r="J29" s="13" t="str">
        <x:v>Connector</x:v>
      </x:c>
      <x:c r="K29" s="13" t="str">
        <x:v>ASP($)</x:v>
      </x:c>
      <x:c r="L29" s="13" t="str">
        <x:v>成熟度</x:v>
      </x:c>
      <x:c r="M29" s="13" t="str">
        <x:v>Issue</x:v>
      </x:c>
      <x:c r="N29" s="13" t="str">
        <x:v>Source_ID</x:v>
      </x:c>
      <x:c r="O29" s="78" t="str">
        <x:f>IF(AND(OR($C$4="全部",'01_架构总表'!$B5=$C$4),OR($F$4="全部",'01_架构总表'!$G5=$F$4),OR($I$4="全部",'01_架构总表'!$K5=$I$4),OR($L$4="全部",'01_架构总表'!$O5=$L$4),OR($C$7="全部",'01_架构总表'!$F5=$C$7),OR($F$7="全部",'01_架构总表'!$T5=$F$7),OR($I$7="全部",'01_架构总表'!$V5=$I$7),OR($L$7="全部",'01_架构总表'!$S5=$L$7),OR($C$10="全部",'01_架构总表'!$AB5=$C$10),OR($F$10="全部",'01_架构总表'!$E5=$F$10),OR($I$10="全部",AND($I$10="无Issue",'01_架构总表'!$AG5=""),AND($I$10="有Issue",'01_架构总表'!$AG5&lt;&gt;"")),OR($L$10="全部",AND($L$10="有ASP",'01_架构总表'!$AC5&lt;&gt;""),AND($L$10="需RFQ/无可比价",'01_架构总表'!$AC5=""))),'01_架构总表'!$A5,"")</x:f>
      </x:c>
    </x:row>
    <x:row r="30">
      <x:c r="A30" s="77" t="str">
        <x:f>IF($O$29="","",$O$29)</x:f>
      </x:c>
      <x:c r="B30" s="77" t="str">
        <x:f>IF($A30="","",INDEX('01_架构总表'!$B$5:$B$41,MATCH($A30,'01_架构总表'!$A$5:$A$41,0)))</x:f>
      </x:c>
      <x:c r="C30" s="77" t="str">
        <x:f>IF($A30="","",INDEX('01_架构总表'!$C$5:$C$41,MATCH($A30,'01_架构总表'!$A$5:$A$41,0)))</x:f>
      </x:c>
      <x:c r="D30" s="77" t="str">
        <x:f>IF($A30="","",INDEX('01_架构总表'!$F$5:$F$41,MATCH($A30,'01_架构总表'!$A$5:$A$41,0)))</x:f>
      </x:c>
      <x:c r="E30" s="77" t="str">
        <x:f>IF($A30="","",INDEX('01_架构总表'!$G$5:$G$41,MATCH($A30,'01_架构总表'!$A$5:$A$41,0)))</x:f>
      </x:c>
      <x:c r="F30" s="77" t="str">
        <x:f>IF($A30="","",INDEX('01_架构总表'!$K$5:$K$41,MATCH($A30,'01_架构总表'!$A$5:$A$41,0)))</x:f>
      </x:c>
      <x:c r="G30" s="77" t="str">
        <x:f>IF($A30="","",INDEX('01_架构总表'!$O$5:$O$41,MATCH($A30,'01_架构总表'!$A$5:$A$41,0)))</x:f>
      </x:c>
      <x:c r="H30" s="77" t="str">
        <x:f>IF($A30="","",INDEX('01_架构总表'!$T$5:$T$41,MATCH($A30,'01_架构总表'!$A$5:$A$41,0)))</x:f>
      </x:c>
      <x:c r="I30" s="77" t="str">
        <x:f>IF($A30="","",INDEX('01_架构总表'!$V$5:$V$41,MATCH($A30,'01_架构总表'!$A$5:$A$41,0)))</x:f>
      </x:c>
      <x:c r="J30" s="77" t="str">
        <x:f>IF($A30="","",INDEX('01_架构总表'!$S$5:$S$41,MATCH($A30,'01_架构总表'!$A$5:$A$41,0)))</x:f>
      </x:c>
      <x:c r="K30" s="27" t="str">
        <x:f>IF($A30="","",INDEX('01_架构总表'!$AC$5:$AC$41,MATCH($A30,'01_架构总表'!$A$5:$A$41,0)))</x:f>
      </x:c>
      <x:c r="L30" s="77" t="str">
        <x:f>IF($A30="","",INDEX('01_架构总表'!$AB$5:$AB$41,MATCH($A30,'01_架构总表'!$A$5:$A$41,0)))</x:f>
      </x:c>
      <x:c r="M30" s="77" t="str">
        <x:f>IF($A30="","",INDEX('01_架构总表'!$AG$5:$AG$41,MATCH($A30,'01_架构总表'!$A$5:$A$41,0)))</x:f>
      </x:c>
      <x:c r="N30" s="77" t="str">
        <x:f>IF($A30="","",INDEX('01_架构总表'!$AF$5:$AF$41,MATCH($A30,'01_架构总表'!$A$5:$A$41,0)))</x:f>
      </x:c>
      <x:c r="O30" s="78" t="str">
        <x:f>IF(AND(OR($C$4="全部",'01_架构总表'!$B6=$C$4),OR($F$4="全部",'01_架构总表'!$G6=$F$4),OR($I$4="全部",'01_架构总表'!$K6=$I$4),OR($L$4="全部",'01_架构总表'!$O6=$L$4),OR($C$7="全部",'01_架构总表'!$F6=$C$7),OR($F$7="全部",'01_架构总表'!$T6=$F$7),OR($I$7="全部",'01_架构总表'!$V6=$I$7),OR($L$7="全部",'01_架构总表'!$S6=$L$7),OR($C$10="全部",'01_架构总表'!$AB6=$C$10),OR($F$10="全部",'01_架构总表'!$E6=$F$10),OR($I$10="全部",AND($I$10="无Issue",'01_架构总表'!$AG6=""),AND($I$10="有Issue",'01_架构总表'!$AG6&lt;&gt;"")),OR($L$10="全部",AND($L$10="有ASP",'01_架构总表'!$AC6&lt;&gt;""),AND($L$10="需RFQ/无可比价",'01_架构总表'!$AC6=""))),'01_架构总表'!$A6,"")</x:f>
      </x:c>
    </x:row>
    <x:row r="31">
      <x:c r="A31" s="77" t="str">
        <x:f>IF($O$30="","",$O$30)</x:f>
      </x:c>
      <x:c r="B31" s="77" t="str">
        <x:f>IF($A31="","",INDEX('01_架构总表'!$B$5:$B$41,MATCH($A31,'01_架构总表'!$A$5:$A$41,0)))</x:f>
      </x:c>
      <x:c r="C31" s="77" t="str">
        <x:f>IF($A31="","",INDEX('01_架构总表'!$C$5:$C$41,MATCH($A31,'01_架构总表'!$A$5:$A$41,0)))</x:f>
      </x:c>
      <x:c r="D31" s="77" t="str">
        <x:f>IF($A31="","",INDEX('01_架构总表'!$F$5:$F$41,MATCH($A31,'01_架构总表'!$A$5:$A$41,0)))</x:f>
      </x:c>
      <x:c r="E31" s="77" t="str">
        <x:f>IF($A31="","",INDEX('01_架构总表'!$G$5:$G$41,MATCH($A31,'01_架构总表'!$A$5:$A$41,0)))</x:f>
      </x:c>
      <x:c r="F31" s="77" t="str">
        <x:f>IF($A31="","",INDEX('01_架构总表'!$K$5:$K$41,MATCH($A31,'01_架构总表'!$A$5:$A$41,0)))</x:f>
      </x:c>
      <x:c r="G31" s="77" t="str">
        <x:f>IF($A31="","",INDEX('01_架构总表'!$O$5:$O$41,MATCH($A31,'01_架构总表'!$A$5:$A$41,0)))</x:f>
      </x:c>
      <x:c r="H31" s="77" t="str">
        <x:f>IF($A31="","",INDEX('01_架构总表'!$T$5:$T$41,MATCH($A31,'01_架构总表'!$A$5:$A$41,0)))</x:f>
      </x:c>
      <x:c r="I31" s="77" t="str">
        <x:f>IF($A31="","",INDEX('01_架构总表'!$V$5:$V$41,MATCH($A31,'01_架构总表'!$A$5:$A$41,0)))</x:f>
      </x:c>
      <x:c r="J31" s="77" t="str">
        <x:f>IF($A31="","",INDEX('01_架构总表'!$S$5:$S$41,MATCH($A31,'01_架构总表'!$A$5:$A$41,0)))</x:f>
      </x:c>
      <x:c r="K31" s="27" t="str">
        <x:f>IF($A31="","",INDEX('01_架构总表'!$AC$5:$AC$41,MATCH($A31,'01_架构总表'!$A$5:$A$41,0)))</x:f>
      </x:c>
      <x:c r="L31" s="77" t="str">
        <x:f>IF($A31="","",INDEX('01_架构总表'!$AB$5:$AB$41,MATCH($A31,'01_架构总表'!$A$5:$A$41,0)))</x:f>
      </x:c>
      <x:c r="M31" s="77" t="str">
        <x:f>IF($A31="","",INDEX('01_架构总表'!$AG$5:$AG$41,MATCH($A31,'01_架构总表'!$A$5:$A$41,0)))</x:f>
      </x:c>
      <x:c r="N31" s="77" t="str">
        <x:f>IF($A31="","",INDEX('01_架构总表'!$AF$5:$AF$41,MATCH($A31,'01_架构总表'!$A$5:$A$41,0)))</x:f>
      </x:c>
      <x:c r="O31" s="78" t="str">
        <x:f>IF(AND(OR($C$4="全部",'01_架构总表'!$B7=$C$4),OR($F$4="全部",'01_架构总表'!$G7=$F$4),OR($I$4="全部",'01_架构总表'!$K7=$I$4),OR($L$4="全部",'01_架构总表'!$O7=$L$4),OR($C$7="全部",'01_架构总表'!$F7=$C$7),OR($F$7="全部",'01_架构总表'!$T7=$F$7),OR($I$7="全部",'01_架构总表'!$V7=$I$7),OR($L$7="全部",'01_架构总表'!$S7=$L$7),OR($C$10="全部",'01_架构总表'!$AB7=$C$10),OR($F$10="全部",'01_架构总表'!$E7=$F$10),OR($I$10="全部",AND($I$10="无Issue",'01_架构总表'!$AG7=""),AND($I$10="有Issue",'01_架构总表'!$AG7&lt;&gt;"")),OR($L$10="全部",AND($L$10="有ASP",'01_架构总表'!$AC7&lt;&gt;""),AND($L$10="需RFQ/无可比价",'01_架构总表'!$AC7=""))),'01_架构总表'!$A7,"")</x:f>
      </x:c>
    </x:row>
    <x:row r="32">
      <x:c r="A32" s="77" t="str">
        <x:f>IF($O$31="","",$O$31)</x:f>
      </x:c>
      <x:c r="B32" s="77" t="str">
        <x:f>IF($A32="","",INDEX('01_架构总表'!$B$5:$B$41,MATCH($A32,'01_架构总表'!$A$5:$A$41,0)))</x:f>
      </x:c>
      <x:c r="C32" s="77" t="str">
        <x:f>IF($A32="","",INDEX('01_架构总表'!$C$5:$C$41,MATCH($A32,'01_架构总表'!$A$5:$A$41,0)))</x:f>
      </x:c>
      <x:c r="D32" s="77" t="str">
        <x:f>IF($A32="","",INDEX('01_架构总表'!$F$5:$F$41,MATCH($A32,'01_架构总表'!$A$5:$A$41,0)))</x:f>
      </x:c>
      <x:c r="E32" s="77" t="str">
        <x:f>IF($A32="","",INDEX('01_架构总表'!$G$5:$G$41,MATCH($A32,'01_架构总表'!$A$5:$A$41,0)))</x:f>
      </x:c>
      <x:c r="F32" s="77" t="str">
        <x:f>IF($A32="","",INDEX('01_架构总表'!$K$5:$K$41,MATCH($A32,'01_架构总表'!$A$5:$A$41,0)))</x:f>
      </x:c>
      <x:c r="G32" s="77" t="str">
        <x:f>IF($A32="","",INDEX('01_架构总表'!$O$5:$O$41,MATCH($A32,'01_架构总表'!$A$5:$A$41,0)))</x:f>
      </x:c>
      <x:c r="H32" s="77" t="str">
        <x:f>IF($A32="","",INDEX('01_架构总表'!$T$5:$T$41,MATCH($A32,'01_架构总表'!$A$5:$A$41,0)))</x:f>
      </x:c>
      <x:c r="I32" s="77" t="str">
        <x:f>IF($A32="","",INDEX('01_架构总表'!$V$5:$V$41,MATCH($A32,'01_架构总表'!$A$5:$A$41,0)))</x:f>
      </x:c>
      <x:c r="J32" s="77" t="str">
        <x:f>IF($A32="","",INDEX('01_架构总表'!$S$5:$S$41,MATCH($A32,'01_架构总表'!$A$5:$A$41,0)))</x:f>
      </x:c>
      <x:c r="K32" s="27" t="str">
        <x:f>IF($A32="","",INDEX('01_架构总表'!$AC$5:$AC$41,MATCH($A32,'01_架构总表'!$A$5:$A$41,0)))</x:f>
      </x:c>
      <x:c r="L32" s="77" t="str">
        <x:f>IF($A32="","",INDEX('01_架构总表'!$AB$5:$AB$41,MATCH($A32,'01_架构总表'!$A$5:$A$41,0)))</x:f>
      </x:c>
      <x:c r="M32" s="77" t="str">
        <x:f>IF($A32="","",INDEX('01_架构总表'!$AG$5:$AG$41,MATCH($A32,'01_架构总表'!$A$5:$A$41,0)))</x:f>
      </x:c>
      <x:c r="N32" s="77" t="str">
        <x:f>IF($A32="","",INDEX('01_架构总表'!$AF$5:$AF$41,MATCH($A32,'01_架构总表'!$A$5:$A$41,0)))</x:f>
      </x:c>
      <x:c r="O32" s="78" t="str">
        <x:f>IF(AND(OR($C$4="全部",'01_架构总表'!$B8=$C$4),OR($F$4="全部",'01_架构总表'!$G8=$F$4),OR($I$4="全部",'01_架构总表'!$K8=$I$4),OR($L$4="全部",'01_架构总表'!$O8=$L$4),OR($C$7="全部",'01_架构总表'!$F8=$C$7),OR($F$7="全部",'01_架构总表'!$T8=$F$7),OR($I$7="全部",'01_架构总表'!$V8=$I$7),OR($L$7="全部",'01_架构总表'!$S8=$L$7),OR($C$10="全部",'01_架构总表'!$AB8=$C$10),OR($F$10="全部",'01_架构总表'!$E8=$F$10),OR($I$10="全部",AND($I$10="无Issue",'01_架构总表'!$AG8=""),AND($I$10="有Issue",'01_架构总表'!$AG8&lt;&gt;"")),OR($L$10="全部",AND($L$10="有ASP",'01_架构总表'!$AC8&lt;&gt;""),AND($L$10="需RFQ/无可比价",'01_架构总表'!$AC8=""))),'01_架构总表'!$A8,"")</x:f>
      </x:c>
    </x:row>
    <x:row r="33">
      <x:c r="A33" s="77" t="str">
        <x:f>IF($O$32="","",$O$32)</x:f>
      </x:c>
      <x:c r="B33" s="77" t="str">
        <x:f>IF($A33="","",INDEX('01_架构总表'!$B$5:$B$41,MATCH($A33,'01_架构总表'!$A$5:$A$41,0)))</x:f>
      </x:c>
      <x:c r="C33" s="77" t="str">
        <x:f>IF($A33="","",INDEX('01_架构总表'!$C$5:$C$41,MATCH($A33,'01_架构总表'!$A$5:$A$41,0)))</x:f>
      </x:c>
      <x:c r="D33" s="77" t="str">
        <x:f>IF($A33="","",INDEX('01_架构总表'!$F$5:$F$41,MATCH($A33,'01_架构总表'!$A$5:$A$41,0)))</x:f>
      </x:c>
      <x:c r="E33" s="77" t="str">
        <x:f>IF($A33="","",INDEX('01_架构总表'!$G$5:$G$41,MATCH($A33,'01_架构总表'!$A$5:$A$41,0)))</x:f>
      </x:c>
      <x:c r="F33" s="77" t="str">
        <x:f>IF($A33="","",INDEX('01_架构总表'!$K$5:$K$41,MATCH($A33,'01_架构总表'!$A$5:$A$41,0)))</x:f>
      </x:c>
      <x:c r="G33" s="77" t="str">
        <x:f>IF($A33="","",INDEX('01_架构总表'!$O$5:$O$41,MATCH($A33,'01_架构总表'!$A$5:$A$41,0)))</x:f>
      </x:c>
      <x:c r="H33" s="77" t="str">
        <x:f>IF($A33="","",INDEX('01_架构总表'!$T$5:$T$41,MATCH($A33,'01_架构总表'!$A$5:$A$41,0)))</x:f>
      </x:c>
      <x:c r="I33" s="77" t="str">
        <x:f>IF($A33="","",INDEX('01_架构总表'!$V$5:$V$41,MATCH($A33,'01_架构总表'!$A$5:$A$41,0)))</x:f>
      </x:c>
      <x:c r="J33" s="77" t="str">
        <x:f>IF($A33="","",INDEX('01_架构总表'!$S$5:$S$41,MATCH($A33,'01_架构总表'!$A$5:$A$41,0)))</x:f>
      </x:c>
      <x:c r="K33" s="27" t="str">
        <x:f>IF($A33="","",INDEX('01_架构总表'!$AC$5:$AC$41,MATCH($A33,'01_架构总表'!$A$5:$A$41,0)))</x:f>
      </x:c>
      <x:c r="L33" s="77" t="str">
        <x:f>IF($A33="","",INDEX('01_架构总表'!$AB$5:$AB$41,MATCH($A33,'01_架构总表'!$A$5:$A$41,0)))</x:f>
      </x:c>
      <x:c r="M33" s="77" t="str">
        <x:f>IF($A33="","",INDEX('01_架构总表'!$AG$5:$AG$41,MATCH($A33,'01_架构总表'!$A$5:$A$41,0)))</x:f>
      </x:c>
      <x:c r="N33" s="77" t="str">
        <x:f>IF($A33="","",INDEX('01_架构总表'!$AF$5:$AF$41,MATCH($A33,'01_架构总表'!$A$5:$A$41,0)))</x:f>
      </x:c>
      <x:c r="O33" s="78" t="str">
        <x:f>IF(AND(OR($C$4="全部",'01_架构总表'!$B9=$C$4),OR($F$4="全部",'01_架构总表'!$G9=$F$4),OR($I$4="全部",'01_架构总表'!$K9=$I$4),OR($L$4="全部",'01_架构总表'!$O9=$L$4),OR($C$7="全部",'01_架构总表'!$F9=$C$7),OR($F$7="全部",'01_架构总表'!$T9=$F$7),OR($I$7="全部",'01_架构总表'!$V9=$I$7),OR($L$7="全部",'01_架构总表'!$S9=$L$7),OR($C$10="全部",'01_架构总表'!$AB9=$C$10),OR($F$10="全部",'01_架构总表'!$E9=$F$10),OR($I$10="全部",AND($I$10="无Issue",'01_架构总表'!$AG9=""),AND($I$10="有Issue",'01_架构总表'!$AG9&lt;&gt;"")),OR($L$10="全部",AND($L$10="有ASP",'01_架构总表'!$AC9&lt;&gt;""),AND($L$10="需RFQ/无可比价",'01_架构总表'!$AC9=""))),'01_架构总表'!$A9,"")</x:f>
      </x:c>
    </x:row>
    <x:row r="34">
      <x:c r="A34" s="77" t="str">
        <x:f>IF($O$33="","",$O$33)</x:f>
      </x:c>
      <x:c r="B34" s="77" t="str">
        <x:f>IF($A34="","",INDEX('01_架构总表'!$B$5:$B$41,MATCH($A34,'01_架构总表'!$A$5:$A$41,0)))</x:f>
      </x:c>
      <x:c r="C34" s="77" t="str">
        <x:f>IF($A34="","",INDEX('01_架构总表'!$C$5:$C$41,MATCH($A34,'01_架构总表'!$A$5:$A$41,0)))</x:f>
      </x:c>
      <x:c r="D34" s="77" t="str">
        <x:f>IF($A34="","",INDEX('01_架构总表'!$F$5:$F$41,MATCH($A34,'01_架构总表'!$A$5:$A$41,0)))</x:f>
      </x:c>
      <x:c r="E34" s="77" t="str">
        <x:f>IF($A34="","",INDEX('01_架构总表'!$G$5:$G$41,MATCH($A34,'01_架构总表'!$A$5:$A$41,0)))</x:f>
      </x:c>
      <x:c r="F34" s="77" t="str">
        <x:f>IF($A34="","",INDEX('01_架构总表'!$K$5:$K$41,MATCH($A34,'01_架构总表'!$A$5:$A$41,0)))</x:f>
      </x:c>
      <x:c r="G34" s="77" t="str">
        <x:f>IF($A34="","",INDEX('01_架构总表'!$O$5:$O$41,MATCH($A34,'01_架构总表'!$A$5:$A$41,0)))</x:f>
      </x:c>
      <x:c r="H34" s="77" t="str">
        <x:f>IF($A34="","",INDEX('01_架构总表'!$T$5:$T$41,MATCH($A34,'01_架构总表'!$A$5:$A$41,0)))</x:f>
      </x:c>
      <x:c r="I34" s="77" t="str">
        <x:f>IF($A34="","",INDEX('01_架构总表'!$V$5:$V$41,MATCH($A34,'01_架构总表'!$A$5:$A$41,0)))</x:f>
      </x:c>
      <x:c r="J34" s="77" t="str">
        <x:f>IF($A34="","",INDEX('01_架构总表'!$S$5:$S$41,MATCH($A34,'01_架构总表'!$A$5:$A$41,0)))</x:f>
      </x:c>
      <x:c r="K34" s="27" t="str">
        <x:f>IF($A34="","",INDEX('01_架构总表'!$AC$5:$AC$41,MATCH($A34,'01_架构总表'!$A$5:$A$41,0)))</x:f>
      </x:c>
      <x:c r="L34" s="77" t="str">
        <x:f>IF($A34="","",INDEX('01_架构总表'!$AB$5:$AB$41,MATCH($A34,'01_架构总表'!$A$5:$A$41,0)))</x:f>
      </x:c>
      <x:c r="M34" s="77" t="str">
        <x:f>IF($A34="","",INDEX('01_架构总表'!$AG$5:$AG$41,MATCH($A34,'01_架构总表'!$A$5:$A$41,0)))</x:f>
      </x:c>
      <x:c r="N34" s="77" t="str">
        <x:f>IF($A34="","",INDEX('01_架构总表'!$AF$5:$AF$41,MATCH($A34,'01_架构总表'!$A$5:$A$41,0)))</x:f>
      </x:c>
      <x:c r="O34" s="78" t="str">
        <x:f>IF(AND(OR($C$4="全部",'01_架构总表'!$B10=$C$4),OR($F$4="全部",'01_架构总表'!$G10=$F$4),OR($I$4="全部",'01_架构总表'!$K10=$I$4),OR($L$4="全部",'01_架构总表'!$O10=$L$4),OR($C$7="全部",'01_架构总表'!$F10=$C$7),OR($F$7="全部",'01_架构总表'!$T10=$F$7),OR($I$7="全部",'01_架构总表'!$V10=$I$7),OR($L$7="全部",'01_架构总表'!$S10=$L$7),OR($C$10="全部",'01_架构总表'!$AB10=$C$10),OR($F$10="全部",'01_架构总表'!$E10=$F$10),OR($I$10="全部",AND($I$10="无Issue",'01_架构总表'!$AG10=""),AND($I$10="有Issue",'01_架构总表'!$AG10&lt;&gt;"")),OR($L$10="全部",AND($L$10="有ASP",'01_架构总表'!$AC10&lt;&gt;""),AND($L$10="需RFQ/无可比价",'01_架构总表'!$AC10=""))),'01_架构总表'!$A10,"")</x:f>
      </x:c>
    </x:row>
    <x:row r="35">
      <x:c r="A35" s="77" t="str">
        <x:f>IF($O$34="","",$O$34)</x:f>
      </x:c>
      <x:c r="B35" s="77" t="str">
        <x:f>IF($A35="","",INDEX('01_架构总表'!$B$5:$B$41,MATCH($A35,'01_架构总表'!$A$5:$A$41,0)))</x:f>
      </x:c>
      <x:c r="C35" s="77" t="str">
        <x:f>IF($A35="","",INDEX('01_架构总表'!$C$5:$C$41,MATCH($A35,'01_架构总表'!$A$5:$A$41,0)))</x:f>
      </x:c>
      <x:c r="D35" s="77" t="str">
        <x:f>IF($A35="","",INDEX('01_架构总表'!$F$5:$F$41,MATCH($A35,'01_架构总表'!$A$5:$A$41,0)))</x:f>
      </x:c>
      <x:c r="E35" s="77" t="str">
        <x:f>IF($A35="","",INDEX('01_架构总表'!$G$5:$G$41,MATCH($A35,'01_架构总表'!$A$5:$A$41,0)))</x:f>
      </x:c>
      <x:c r="F35" s="77" t="str">
        <x:f>IF($A35="","",INDEX('01_架构总表'!$K$5:$K$41,MATCH($A35,'01_架构总表'!$A$5:$A$41,0)))</x:f>
      </x:c>
      <x:c r="G35" s="77" t="str">
        <x:f>IF($A35="","",INDEX('01_架构总表'!$O$5:$O$41,MATCH($A35,'01_架构总表'!$A$5:$A$41,0)))</x:f>
      </x:c>
      <x:c r="H35" s="77" t="str">
        <x:f>IF($A35="","",INDEX('01_架构总表'!$T$5:$T$41,MATCH($A35,'01_架构总表'!$A$5:$A$41,0)))</x:f>
      </x:c>
      <x:c r="I35" s="77" t="str">
        <x:f>IF($A35="","",INDEX('01_架构总表'!$V$5:$V$41,MATCH($A35,'01_架构总表'!$A$5:$A$41,0)))</x:f>
      </x:c>
      <x:c r="J35" s="77" t="str">
        <x:f>IF($A35="","",INDEX('01_架构总表'!$S$5:$S$41,MATCH($A35,'01_架构总表'!$A$5:$A$41,0)))</x:f>
      </x:c>
      <x:c r="K35" s="27" t="str">
        <x:f>IF($A35="","",INDEX('01_架构总表'!$AC$5:$AC$41,MATCH($A35,'01_架构总表'!$A$5:$A$41,0)))</x:f>
      </x:c>
      <x:c r="L35" s="77" t="str">
        <x:f>IF($A35="","",INDEX('01_架构总表'!$AB$5:$AB$41,MATCH($A35,'01_架构总表'!$A$5:$A$41,0)))</x:f>
      </x:c>
      <x:c r="M35" s="77" t="str">
        <x:f>IF($A35="","",INDEX('01_架构总表'!$AG$5:$AG$41,MATCH($A35,'01_架构总表'!$A$5:$A$41,0)))</x:f>
      </x:c>
      <x:c r="N35" s="77" t="str">
        <x:f>IF($A35="","",INDEX('01_架构总表'!$AF$5:$AF$41,MATCH($A35,'01_架构总表'!$A$5:$A$41,0)))</x:f>
      </x:c>
      <x:c r="O35" s="78" t="str">
        <x:f>IF(AND(OR($C$4="全部",'01_架构总表'!$B11=$C$4),OR($F$4="全部",'01_架构总表'!$G11=$F$4),OR($I$4="全部",'01_架构总表'!$K11=$I$4),OR($L$4="全部",'01_架构总表'!$O11=$L$4),OR($C$7="全部",'01_架构总表'!$F11=$C$7),OR($F$7="全部",'01_架构总表'!$T11=$F$7),OR($I$7="全部",'01_架构总表'!$V11=$I$7),OR($L$7="全部",'01_架构总表'!$S11=$L$7),OR($C$10="全部",'01_架构总表'!$AB11=$C$10),OR($F$10="全部",'01_架构总表'!$E11=$F$10),OR($I$10="全部",AND($I$10="无Issue",'01_架构总表'!$AG11=""),AND($I$10="有Issue",'01_架构总表'!$AG11&lt;&gt;"")),OR($L$10="全部",AND($L$10="有ASP",'01_架构总表'!$AC11&lt;&gt;""),AND($L$10="需RFQ/无可比价",'01_架构总表'!$AC11=""))),'01_架构总表'!$A11,"")</x:f>
      </x:c>
    </x:row>
    <x:row r="36">
      <x:c r="A36" s="77" t="str">
        <x:f>IF($O$35="","",$O$35)</x:f>
      </x:c>
      <x:c r="B36" s="77" t="str">
        <x:f>IF($A36="","",INDEX('01_架构总表'!$B$5:$B$41,MATCH($A36,'01_架构总表'!$A$5:$A$41,0)))</x:f>
      </x:c>
      <x:c r="C36" s="77" t="str">
        <x:f>IF($A36="","",INDEX('01_架构总表'!$C$5:$C$41,MATCH($A36,'01_架构总表'!$A$5:$A$41,0)))</x:f>
      </x:c>
      <x:c r="D36" s="77" t="str">
        <x:f>IF($A36="","",INDEX('01_架构总表'!$F$5:$F$41,MATCH($A36,'01_架构总表'!$A$5:$A$41,0)))</x:f>
      </x:c>
      <x:c r="E36" s="77" t="str">
        <x:f>IF($A36="","",INDEX('01_架构总表'!$G$5:$G$41,MATCH($A36,'01_架构总表'!$A$5:$A$41,0)))</x:f>
      </x:c>
      <x:c r="F36" s="77" t="str">
        <x:f>IF($A36="","",INDEX('01_架构总表'!$K$5:$K$41,MATCH($A36,'01_架构总表'!$A$5:$A$41,0)))</x:f>
      </x:c>
      <x:c r="G36" s="77" t="str">
        <x:f>IF($A36="","",INDEX('01_架构总表'!$O$5:$O$41,MATCH($A36,'01_架构总表'!$A$5:$A$41,0)))</x:f>
      </x:c>
      <x:c r="H36" s="77" t="str">
        <x:f>IF($A36="","",INDEX('01_架构总表'!$T$5:$T$41,MATCH($A36,'01_架构总表'!$A$5:$A$41,0)))</x:f>
      </x:c>
      <x:c r="I36" s="77" t="str">
        <x:f>IF($A36="","",INDEX('01_架构总表'!$V$5:$V$41,MATCH($A36,'01_架构总表'!$A$5:$A$41,0)))</x:f>
      </x:c>
      <x:c r="J36" s="77" t="str">
        <x:f>IF($A36="","",INDEX('01_架构总表'!$S$5:$S$41,MATCH($A36,'01_架构总表'!$A$5:$A$41,0)))</x:f>
      </x:c>
      <x:c r="K36" s="27" t="str">
        <x:f>IF($A36="","",INDEX('01_架构总表'!$AC$5:$AC$41,MATCH($A36,'01_架构总表'!$A$5:$A$41,0)))</x:f>
      </x:c>
      <x:c r="L36" s="77" t="str">
        <x:f>IF($A36="","",INDEX('01_架构总表'!$AB$5:$AB$41,MATCH($A36,'01_架构总表'!$A$5:$A$41,0)))</x:f>
      </x:c>
      <x:c r="M36" s="77" t="str">
        <x:f>IF($A36="","",INDEX('01_架构总表'!$AG$5:$AG$41,MATCH($A36,'01_架构总表'!$A$5:$A$41,0)))</x:f>
      </x:c>
      <x:c r="N36" s="77" t="str">
        <x:f>IF($A36="","",INDEX('01_架构总表'!$AF$5:$AF$41,MATCH($A36,'01_架构总表'!$A$5:$A$41,0)))</x:f>
      </x:c>
      <x:c r="O36" s="78" t="str">
        <x:f>IF(AND(OR($C$4="全部",'01_架构总表'!$B12=$C$4),OR($F$4="全部",'01_架构总表'!$G12=$F$4),OR($I$4="全部",'01_架构总表'!$K12=$I$4),OR($L$4="全部",'01_架构总表'!$O12=$L$4),OR($C$7="全部",'01_架构总表'!$F12=$C$7),OR($F$7="全部",'01_架构总表'!$T12=$F$7),OR($I$7="全部",'01_架构总表'!$V12=$I$7),OR($L$7="全部",'01_架构总表'!$S12=$L$7),OR($C$10="全部",'01_架构总表'!$AB12=$C$10),OR($F$10="全部",'01_架构总表'!$E12=$F$10),OR($I$10="全部",AND($I$10="无Issue",'01_架构总表'!$AG12=""),AND($I$10="有Issue",'01_架构总表'!$AG12&lt;&gt;"")),OR($L$10="全部",AND($L$10="有ASP",'01_架构总表'!$AC12&lt;&gt;""),AND($L$10="需RFQ/无可比价",'01_架构总表'!$AC12=""))),'01_架构总表'!$A12,"")</x:f>
      </x:c>
    </x:row>
    <x:row r="37">
      <x:c r="A37" s="77" t="str">
        <x:f>IF($O$36="","",$O$36)</x:f>
      </x:c>
      <x:c r="B37" s="77" t="str">
        <x:f>IF($A37="","",INDEX('01_架构总表'!$B$5:$B$41,MATCH($A37,'01_架构总表'!$A$5:$A$41,0)))</x:f>
      </x:c>
      <x:c r="C37" s="77" t="str">
        <x:f>IF($A37="","",INDEX('01_架构总表'!$C$5:$C$41,MATCH($A37,'01_架构总表'!$A$5:$A$41,0)))</x:f>
      </x:c>
      <x:c r="D37" s="77" t="str">
        <x:f>IF($A37="","",INDEX('01_架构总表'!$F$5:$F$41,MATCH($A37,'01_架构总表'!$A$5:$A$41,0)))</x:f>
      </x:c>
      <x:c r="E37" s="77" t="str">
        <x:f>IF($A37="","",INDEX('01_架构总表'!$G$5:$G$41,MATCH($A37,'01_架构总表'!$A$5:$A$41,0)))</x:f>
      </x:c>
      <x:c r="F37" s="77" t="str">
        <x:f>IF($A37="","",INDEX('01_架构总表'!$K$5:$K$41,MATCH($A37,'01_架构总表'!$A$5:$A$41,0)))</x:f>
      </x:c>
      <x:c r="G37" s="77" t="str">
        <x:f>IF($A37="","",INDEX('01_架构总表'!$O$5:$O$41,MATCH($A37,'01_架构总表'!$A$5:$A$41,0)))</x:f>
      </x:c>
      <x:c r="H37" s="77" t="str">
        <x:f>IF($A37="","",INDEX('01_架构总表'!$T$5:$T$41,MATCH($A37,'01_架构总表'!$A$5:$A$41,0)))</x:f>
      </x:c>
      <x:c r="I37" s="77" t="str">
        <x:f>IF($A37="","",INDEX('01_架构总表'!$V$5:$V$41,MATCH($A37,'01_架构总表'!$A$5:$A$41,0)))</x:f>
      </x:c>
      <x:c r="J37" s="77" t="str">
        <x:f>IF($A37="","",INDEX('01_架构总表'!$S$5:$S$41,MATCH($A37,'01_架构总表'!$A$5:$A$41,0)))</x:f>
      </x:c>
      <x:c r="K37" s="27" t="str">
        <x:f>IF($A37="","",INDEX('01_架构总表'!$AC$5:$AC$41,MATCH($A37,'01_架构总表'!$A$5:$A$41,0)))</x:f>
      </x:c>
      <x:c r="L37" s="77" t="str">
        <x:f>IF($A37="","",INDEX('01_架构总表'!$AB$5:$AB$41,MATCH($A37,'01_架构总表'!$A$5:$A$41,0)))</x:f>
      </x:c>
      <x:c r="M37" s="77" t="str">
        <x:f>IF($A37="","",INDEX('01_架构总表'!$AG$5:$AG$41,MATCH($A37,'01_架构总表'!$A$5:$A$41,0)))</x:f>
      </x:c>
      <x:c r="N37" s="77" t="str">
        <x:f>IF($A37="","",INDEX('01_架构总表'!$AF$5:$AF$41,MATCH($A37,'01_架构总表'!$A$5:$A$41,0)))</x:f>
      </x:c>
      <x:c r="O37" s="78" t="str">
        <x:f>IF(AND(OR($C$4="全部",'01_架构总表'!$B13=$C$4),OR($F$4="全部",'01_架构总表'!$G13=$F$4),OR($I$4="全部",'01_架构总表'!$K13=$I$4),OR($L$4="全部",'01_架构总表'!$O13=$L$4),OR($C$7="全部",'01_架构总表'!$F13=$C$7),OR($F$7="全部",'01_架构总表'!$T13=$F$7),OR($I$7="全部",'01_架构总表'!$V13=$I$7),OR($L$7="全部",'01_架构总表'!$S13=$L$7),OR($C$10="全部",'01_架构总表'!$AB13=$C$10),OR($F$10="全部",'01_架构总表'!$E13=$F$10),OR($I$10="全部",AND($I$10="无Issue",'01_架构总表'!$AG13=""),AND($I$10="有Issue",'01_架构总表'!$AG13&lt;&gt;"")),OR($L$10="全部",AND($L$10="有ASP",'01_架构总表'!$AC13&lt;&gt;""),AND($L$10="需RFQ/无可比价",'01_架构总表'!$AC13=""))),'01_架构总表'!$A13,"")</x:f>
      </x:c>
    </x:row>
    <x:row r="38">
      <x:c r="A38" s="77" t="str">
        <x:f>IF($O$37="","",$O$37)</x:f>
      </x:c>
      <x:c r="B38" s="77" t="str">
        <x:f>IF($A38="","",INDEX('01_架构总表'!$B$5:$B$41,MATCH($A38,'01_架构总表'!$A$5:$A$41,0)))</x:f>
      </x:c>
      <x:c r="C38" s="77" t="str">
        <x:f>IF($A38="","",INDEX('01_架构总表'!$C$5:$C$41,MATCH($A38,'01_架构总表'!$A$5:$A$41,0)))</x:f>
      </x:c>
      <x:c r="D38" s="77" t="str">
        <x:f>IF($A38="","",INDEX('01_架构总表'!$F$5:$F$41,MATCH($A38,'01_架构总表'!$A$5:$A$41,0)))</x:f>
      </x:c>
      <x:c r="E38" s="77" t="str">
        <x:f>IF($A38="","",INDEX('01_架构总表'!$G$5:$G$41,MATCH($A38,'01_架构总表'!$A$5:$A$41,0)))</x:f>
      </x:c>
      <x:c r="F38" s="77" t="str">
        <x:f>IF($A38="","",INDEX('01_架构总表'!$K$5:$K$41,MATCH($A38,'01_架构总表'!$A$5:$A$41,0)))</x:f>
      </x:c>
      <x:c r="G38" s="77" t="str">
        <x:f>IF($A38="","",INDEX('01_架构总表'!$O$5:$O$41,MATCH($A38,'01_架构总表'!$A$5:$A$41,0)))</x:f>
      </x:c>
      <x:c r="H38" s="77" t="str">
        <x:f>IF($A38="","",INDEX('01_架构总表'!$T$5:$T$41,MATCH($A38,'01_架构总表'!$A$5:$A$41,0)))</x:f>
      </x:c>
      <x:c r="I38" s="77" t="str">
        <x:f>IF($A38="","",INDEX('01_架构总表'!$V$5:$V$41,MATCH($A38,'01_架构总表'!$A$5:$A$41,0)))</x:f>
      </x:c>
      <x:c r="J38" s="77" t="str">
        <x:f>IF($A38="","",INDEX('01_架构总表'!$S$5:$S$41,MATCH($A38,'01_架构总表'!$A$5:$A$41,0)))</x:f>
      </x:c>
      <x:c r="K38" s="27" t="str">
        <x:f>IF($A38="","",INDEX('01_架构总表'!$AC$5:$AC$41,MATCH($A38,'01_架构总表'!$A$5:$A$41,0)))</x:f>
      </x:c>
      <x:c r="L38" s="77" t="str">
        <x:f>IF($A38="","",INDEX('01_架构总表'!$AB$5:$AB$41,MATCH($A38,'01_架构总表'!$A$5:$A$41,0)))</x:f>
      </x:c>
      <x:c r="M38" s="77" t="str">
        <x:f>IF($A38="","",INDEX('01_架构总表'!$AG$5:$AG$41,MATCH($A38,'01_架构总表'!$A$5:$A$41,0)))</x:f>
      </x:c>
      <x:c r="N38" s="77" t="str">
        <x:f>IF($A38="","",INDEX('01_架构总表'!$AF$5:$AF$41,MATCH($A38,'01_架构总表'!$A$5:$A$41,0)))</x:f>
      </x:c>
      <x:c r="O38" s="78" t="str">
        <x:f>IF(AND(OR($C$4="全部",'01_架构总表'!$B14=$C$4),OR($F$4="全部",'01_架构总表'!$G14=$F$4),OR($I$4="全部",'01_架构总表'!$K14=$I$4),OR($L$4="全部",'01_架构总表'!$O14=$L$4),OR($C$7="全部",'01_架构总表'!$F14=$C$7),OR($F$7="全部",'01_架构总表'!$T14=$F$7),OR($I$7="全部",'01_架构总表'!$V14=$I$7),OR($L$7="全部",'01_架构总表'!$S14=$L$7),OR($C$10="全部",'01_架构总表'!$AB14=$C$10),OR($F$10="全部",'01_架构总表'!$E14=$F$10),OR($I$10="全部",AND($I$10="无Issue",'01_架构总表'!$AG14=""),AND($I$10="有Issue",'01_架构总表'!$AG14&lt;&gt;"")),OR($L$10="全部",AND($L$10="有ASP",'01_架构总表'!$AC14&lt;&gt;""),AND($L$10="需RFQ/无可比价",'01_架构总表'!$AC14=""))),'01_架构总表'!$A14,"")</x:f>
        <x:v>800-QDD-2FR4-8E8O-EML</x:v>
      </x:c>
    </x:row>
    <x:row r="39">
      <x:c r="A39" s="77" t="str">
        <x:f>IF($O$38="","",$O$38)</x:f>
        <x:v>800-QDD-2FR4-8E8O-EML</x:v>
      </x:c>
      <x:c r="B39" s="77" t="str">
        <x:f>IF($A39="","",INDEX('01_架构总表'!$B$5:$B$41,MATCH($A39,'01_架构总表'!$A$5:$A$41,0)))</x:f>
        <x:v>800G</x:v>
      </x:c>
      <x:c r="C39" s="77" t="str">
        <x:f>IF($A39="","",INDEX('01_架构总表'!$C$5:$C$41,MATCH($A39,'01_架构总表'!$A$5:$A$41,0)))</x:f>
        <x:v>800G-2×FR4 QSFP112-DD</x:v>
      </x:c>
      <x:c r="D39" s="77" t="str">
        <x:f>IF($A39="","",INDEX('01_架构总表'!$F$5:$F$41,MATCH($A39,'01_架构总表'!$A$5:$A$41,0)))</x:f>
        <x:v>QSFP-DD800</x:v>
      </x:c>
      <x:c r="E39" s="77" t="str">
        <x:f>IF($A39="","",INDEX('01_架构总表'!$G$5:$G$41,MATCH($A39,'01_架构总表'!$A$5:$A$41,0)))</x:f>
        <x:v>8×100G</x:v>
      </x:c>
      <x:c r="F39" s="77" t="str">
        <x:f>IF($A39="","",INDEX('01_架构总表'!$K$5:$K$41,MATCH($A39,'01_架构总表'!$A$5:$A$41,0)))</x:f>
        <x:v>8×100G</x:v>
      </x:c>
      <x:c r="G39" s="77" t="str">
        <x:f>IF($A39="","",INDEX('01_架构总表'!$O$5:$O$41,MATCH($A39,'01_架构总表'!$A$5:$A$41,0)))</x:f>
        <x:v>2×FR4/2km</x:v>
      </x:c>
      <x:c r="H39" s="77" t="str">
        <x:f>IF($A39="","",INDEX('01_架构总表'!$T$5:$T$41,MATCH($A39,'01_架构总表'!$A$5:$A$41,0)))</x:f>
        <x:v>EML</x:v>
      </x:c>
      <x:c r="I39" s="77" t="str">
        <x:f>IF($A39="","",INDEX('01_架构总表'!$V$5:$V$41,MATCH($A39,'01_架构总表'!$A$5:$A$41,0)))</x:f>
        <x:v>Retimed</x:v>
      </x:c>
      <x:c r="J39" s="77" t="str">
        <x:f>IF($A39="","",INDEX('01_架构总表'!$S$5:$S$41,MATCH($A39,'01_架构总表'!$A$5:$A$41,0)))</x:f>
        <x:v>Dual LC</x:v>
      </x:c>
      <x:c r="K39" s="27" t="n">
        <x:f>IF($A39="","",INDEX('01_架构总表'!$AC$5:$AC$41,MATCH($A39,'01_架构总表'!$A$5:$A$41,0)))</x:f>
        <x:v>360</x:v>
      </x:c>
      <x:c r="L39" s="77" t="str">
        <x:f>IF($A39="","",INDEX('01_架构总表'!$AB$5:$AB$41,MATCH($A39,'01_架构总表'!$A$5:$A$41,0)))</x:f>
        <x:v>量产</x:v>
      </x:c>
      <x:c r="M39" s="77" t="str">
        <x:f>IF($A39="","",INDEX('01_架构总表'!$AG$5:$AG$41,MATCH($A39,'01_架构总表'!$A$5:$A$41,0)))</x:f>
      </x:c>
      <x:c r="N39" s="77" t="str">
        <x:f>IF($A39="","",INDEX('01_架构总表'!$AF$5:$AF$41,MATCH($A39,'01_架构总表'!$A$5:$A$41,0)))</x:f>
        <x:v>S04;S16</x:v>
      </x:c>
      <x:c r="O39" s="78" t="str">
        <x:f>IF(AND(OR($C$4="全部",'01_架构总表'!$B15=$C$4),OR($F$4="全部",'01_架构总表'!$G15=$F$4),OR($I$4="全部",'01_架构总表'!$K15=$I$4),OR($L$4="全部",'01_架构总表'!$O15=$L$4),OR($C$7="全部",'01_架构总表'!$F15=$C$7),OR($F$7="全部",'01_架构总表'!$T15=$F$7),OR($I$7="全部",'01_架构总表'!$V15=$I$7),OR($L$7="全部",'01_架构总表'!$S15=$L$7),OR($C$10="全部",'01_架构总表'!$AB15=$C$10),OR($F$10="全部",'01_架构总表'!$E15=$F$10),OR($I$10="全部",AND($I$10="无Issue",'01_架构总表'!$AG15=""),AND($I$10="有Issue",'01_架构总表'!$AG15&lt;&gt;"")),OR($L$10="全部",AND($L$10="有ASP",'01_架构总表'!$AC15&lt;&gt;""),AND($L$10="需RFQ/无可比价",'01_架构总表'!$AC15=""))),'01_架构总表'!$A15,"")</x:f>
        <x:v>800-QDD-2DR4-8E8O-EML</x:v>
      </x:c>
    </x:row>
    <x:row r="40">
      <x:c r="A40" s="77" t="str">
        <x:f>IF($O$39="","",$O$39)</x:f>
        <x:v>800-QDD-2DR4-8E8O-EML</x:v>
      </x:c>
      <x:c r="B40" s="77" t="str">
        <x:f>IF($A40="","",INDEX('01_架构总表'!$B$5:$B$41,MATCH($A40,'01_架构总表'!$A$5:$A$41,0)))</x:f>
        <x:v>800G</x:v>
      </x:c>
      <x:c r="C40" s="77" t="str">
        <x:f>IF($A40="","",INDEX('01_架构总表'!$C$5:$C$41,MATCH($A40,'01_架构总表'!$A$5:$A$41,0)))</x:f>
        <x:v>800G-2×DR4 QSFP112-DD</x:v>
      </x:c>
      <x:c r="D40" s="77" t="str">
        <x:f>IF($A40="","",INDEX('01_架构总表'!$F$5:$F$41,MATCH($A40,'01_架构总表'!$A$5:$A$41,0)))</x:f>
        <x:v>QSFP-DD800</x:v>
      </x:c>
      <x:c r="E40" s="77" t="str">
        <x:f>IF($A40="","",INDEX('01_架构总表'!$G$5:$G$41,MATCH($A40,'01_架构总表'!$A$5:$A$41,0)))</x:f>
        <x:v>8×100G</x:v>
      </x:c>
      <x:c r="F40" s="77" t="str">
        <x:f>IF($A40="","",INDEX('01_架构总表'!$K$5:$K$41,MATCH($A40,'01_架构总表'!$A$5:$A$41,0)))</x:f>
        <x:v>8×100G</x:v>
      </x:c>
      <x:c r="G40" s="77" t="str">
        <x:f>IF($A40="","",INDEX('01_架构总表'!$O$5:$O$41,MATCH($A40,'01_架构总表'!$A$5:$A$41,0)))</x:f>
        <x:v>2×DR4/500m</x:v>
      </x:c>
      <x:c r="H40" s="77" t="str">
        <x:f>IF($A40="","",INDEX('01_架构总表'!$T$5:$T$41,MATCH($A40,'01_架构总表'!$A$5:$A$41,0)))</x:f>
        <x:v>EML</x:v>
      </x:c>
      <x:c r="I40" s="77" t="str">
        <x:f>IF($A40="","",INDEX('01_架构总表'!$V$5:$V$41,MATCH($A40,'01_架构总表'!$A$5:$A$41,0)))</x:f>
        <x:v>Retimed</x:v>
      </x:c>
      <x:c r="J40" s="77" t="str">
        <x:f>IF($A40="","",INDEX('01_架构总表'!$S$5:$S$41,MATCH($A40,'01_架构总表'!$A$5:$A$41,0)))</x:f>
        <x:v>Dual MPO12</x:v>
      </x:c>
      <x:c r="K40" s="27" t="n">
        <x:f>IF($A40="","",INDEX('01_架构总表'!$AC$5:$AC$41,MATCH($A40,'01_架构总表'!$A$5:$A$41,0)))</x:f>
        <x:v>320</x:v>
      </x:c>
      <x:c r="L40" s="77" t="str">
        <x:f>IF($A40="","",INDEX('01_架构总表'!$AB$5:$AB$41,MATCH($A40,'01_架构总表'!$A$5:$A$41,0)))</x:f>
        <x:v>量产</x:v>
      </x:c>
      <x:c r="M40" s="77" t="str">
        <x:f>IF($A40="","",INDEX('01_架构总表'!$AG$5:$AG$41,MATCH($A40,'01_架构总表'!$A$5:$A$41,0)))</x:f>
        <x:v>价格代理</x:v>
      </x:c>
      <x:c r="N40" s="77" t="str">
        <x:f>IF($A40="","",INDEX('01_架构总表'!$AF$5:$AF$41,MATCH($A40,'01_架构总表'!$A$5:$A$41,0)))</x:f>
        <x:v>S04;S16</x:v>
      </x:c>
      <x:c r="O40" s="78" t="str">
        <x:f>IF(AND(OR($C$4="全部",'01_架构总表'!$B16=$C$4),OR($F$4="全部",'01_架构总表'!$G16=$F$4),OR($I$4="全部",'01_架构总表'!$K16=$I$4),OR($L$4="全部",'01_架构总表'!$O16=$L$4),OR($C$7="全部",'01_架构总表'!$F16=$C$7),OR($F$7="全部",'01_架构总表'!$T16=$F$7),OR($I$7="全部",'01_架构总表'!$V16=$I$7),OR($L$7="全部",'01_架构总表'!$S16=$L$7),OR($C$10="全部",'01_架构总表'!$AB16=$C$10),OR($F$10="全部",'01_架构总表'!$E16=$F$10),OR($I$10="全部",AND($I$10="无Issue",'01_架构总表'!$AG16=""),AND($I$10="有Issue",'01_架构总表'!$AG16&lt;&gt;"")),OR($L$10="全部",AND($L$10="有ASP",'01_架构总表'!$AC16&lt;&gt;""),AND($L$10="需RFQ/无可比价",'01_架构总表'!$AC16=""))),'01_架构总表'!$A16,"")</x:f>
        <x:v>800-QDD-DR8-8E8O-EML</x:v>
      </x:c>
    </x:row>
    <x:row r="41">
      <x:c r="A41" s="77" t="str">
        <x:f>IF($O$40="","",$O$40)</x:f>
        <x:v>800-QDD-DR8-8E8O-EML</x:v>
      </x:c>
      <x:c r="B41" s="77" t="str">
        <x:f>IF($A41="","",INDEX('01_架构总表'!$B$5:$B$41,MATCH($A41,'01_架构总表'!$A$5:$A$41,0)))</x:f>
        <x:v>800G</x:v>
      </x:c>
      <x:c r="C41" s="77" t="str">
        <x:f>IF($A41="","",INDEX('01_架构总表'!$C$5:$C$41,MATCH($A41,'01_架构总表'!$A$5:$A$41,0)))</x:f>
        <x:v>800G-DR8 QSFP112-DD</x:v>
      </x:c>
      <x:c r="D41" s="77" t="str">
        <x:f>IF($A41="","",INDEX('01_架构总表'!$F$5:$F$41,MATCH($A41,'01_架构总表'!$A$5:$A$41,0)))</x:f>
        <x:v>QSFP-DD800</x:v>
      </x:c>
      <x:c r="E41" s="77" t="str">
        <x:f>IF($A41="","",INDEX('01_架构总表'!$G$5:$G$41,MATCH($A41,'01_架构总表'!$A$5:$A$41,0)))</x:f>
        <x:v>8×100G</x:v>
      </x:c>
      <x:c r="F41" s="77" t="str">
        <x:f>IF($A41="","",INDEX('01_架构总表'!$K$5:$K$41,MATCH($A41,'01_架构总表'!$A$5:$A$41,0)))</x:f>
        <x:v>8×100G</x:v>
      </x:c>
      <x:c r="G41" s="77" t="str">
        <x:f>IF($A41="","",INDEX('01_架构总表'!$O$5:$O$41,MATCH($A41,'01_架构总表'!$A$5:$A$41,0)))</x:f>
        <x:v>DR8/500m</x:v>
      </x:c>
      <x:c r="H41" s="77" t="str">
        <x:f>IF($A41="","",INDEX('01_架构总表'!$T$5:$T$41,MATCH($A41,'01_架构总表'!$A$5:$A$41,0)))</x:f>
        <x:v>EML</x:v>
      </x:c>
      <x:c r="I41" s="77" t="str">
        <x:f>IF($A41="","",INDEX('01_架构总表'!$V$5:$V$41,MATCH($A41,'01_架构总表'!$A$5:$A$41,0)))</x:f>
        <x:v>Retimed</x:v>
      </x:c>
      <x:c r="J41" s="77" t="str">
        <x:f>IF($A41="","",INDEX('01_架构总表'!$S$5:$S$41,MATCH($A41,'01_架构总表'!$A$5:$A$41,0)))</x:f>
        <x:v>MPO16</x:v>
      </x:c>
      <x:c r="K41" s="27" t="n">
        <x:f>IF($A41="","",INDEX('01_架构总表'!$AC$5:$AC$41,MATCH($A41,'01_架构总表'!$A$5:$A$41,0)))</x:f>
        <x:v>320</x:v>
      </x:c>
      <x:c r="L41" s="77" t="str">
        <x:f>IF($A41="","",INDEX('01_架构总表'!$AB$5:$AB$41,MATCH($A41,'01_架构总表'!$A$5:$A$41,0)))</x:f>
        <x:v>量产</x:v>
      </x:c>
      <x:c r="M41" s="77" t="str">
        <x:f>IF($A41="","",INDEX('01_架构总表'!$AG$5:$AG$41,MATCH($A41,'01_架构总表'!$A$5:$A$41,0)))</x:f>
      </x:c>
      <x:c r="N41" s="77" t="str">
        <x:f>IF($A41="","",INDEX('01_架构总表'!$AF$5:$AF$41,MATCH($A41,'01_架构总表'!$A$5:$A$41,0)))</x:f>
        <x:v>S04;S16</x:v>
      </x:c>
      <x:c r="O41" s="78" t="str">
        <x:f>IF(AND(OR($C$4="全部",'01_架构总表'!$B17=$C$4),OR($F$4="全部",'01_架构总表'!$G17=$F$4),OR($I$4="全部",'01_架构总表'!$K17=$I$4),OR($L$4="全部",'01_架构总表'!$O17=$L$4),OR($C$7="全部",'01_架构总表'!$F17=$C$7),OR($F$7="全部",'01_架构总表'!$T17=$F$7),OR($I$7="全部",'01_架构总表'!$V17=$I$7),OR($L$7="全部",'01_架构总表'!$S17=$L$7),OR($C$10="全部",'01_架构总表'!$AB17=$C$10),OR($F$10="全部",'01_架构总表'!$E17=$F$10),OR($I$10="全部",AND($I$10="无Issue",'01_架构总表'!$AG17=""),AND($I$10="有Issue",'01_架构总表'!$AG17&lt;&gt;"")),OR($L$10="全部",AND($L$10="有ASP",'01_架构总表'!$AC17&lt;&gt;""),AND($L$10="需RFQ/无可比价",'01_架构总表'!$AC17=""))),'01_架构总表'!$A17,"")</x:f>
        <x:v>800-QDD-SR8-8E8O-VCSEL</x:v>
      </x:c>
    </x:row>
    <x:row r="42">
      <x:c r="A42" s="77" t="str">
        <x:f>IF($O$41="","",$O$41)</x:f>
        <x:v>800-QDD-SR8-8E8O-VCSEL</x:v>
      </x:c>
      <x:c r="B42" s="77" t="str">
        <x:f>IF($A42="","",INDEX('01_架构总表'!$B$5:$B$41,MATCH($A42,'01_架构总表'!$A$5:$A$41,0)))</x:f>
        <x:v>800G</x:v>
      </x:c>
      <x:c r="C42" s="77" t="str">
        <x:f>IF($A42="","",INDEX('01_架构总表'!$C$5:$C$41,MATCH($A42,'01_架构总表'!$A$5:$A$41,0)))</x:f>
        <x:v>800G-SR8 QSFP112-DD</x:v>
      </x:c>
      <x:c r="D42" s="77" t="str">
        <x:f>IF($A42="","",INDEX('01_架构总表'!$F$5:$F$41,MATCH($A42,'01_架构总表'!$A$5:$A$41,0)))</x:f>
        <x:v>QSFP-DD800</x:v>
      </x:c>
      <x:c r="E42" s="77" t="str">
        <x:f>IF($A42="","",INDEX('01_架构总表'!$G$5:$G$41,MATCH($A42,'01_架构总表'!$A$5:$A$41,0)))</x:f>
        <x:v>8×100G</x:v>
      </x:c>
      <x:c r="F42" s="77" t="str">
        <x:f>IF($A42="","",INDEX('01_架构总表'!$K$5:$K$41,MATCH($A42,'01_架构总表'!$A$5:$A$41,0)))</x:f>
        <x:v>8×100G</x:v>
      </x:c>
      <x:c r="G42" s="77" t="str">
        <x:f>IF($A42="","",INDEX('01_架构总表'!$O$5:$O$41,MATCH($A42,'01_架构总表'!$A$5:$A$41,0)))</x:f>
        <x:v>SR8/50m</x:v>
      </x:c>
      <x:c r="H42" s="77" t="str">
        <x:f>IF($A42="","",INDEX('01_架构总表'!$T$5:$T$41,MATCH($A42,'01_架构总表'!$A$5:$A$41,0)))</x:f>
        <x:v>VCSEL</x:v>
      </x:c>
      <x:c r="I42" s="77" t="str">
        <x:f>IF($A42="","",INDEX('01_架构总表'!$V$5:$V$41,MATCH($A42,'01_架构总表'!$A$5:$A$41,0)))</x:f>
        <x:v>Retimed</x:v>
      </x:c>
      <x:c r="J42" s="77" t="str">
        <x:f>IF($A42="","",INDEX('01_架构总表'!$S$5:$S$41,MATCH($A42,'01_架构总表'!$A$5:$A$41,0)))</x:f>
        <x:v>Dual MPO12</x:v>
      </x:c>
      <x:c r="K42" s="27" t="n">
        <x:f>IF($A42="","",INDEX('01_架构总表'!$AC$5:$AC$41,MATCH($A42,'01_架构总表'!$A$5:$A$41,0)))</x:f>
        <x:v>170</x:v>
      </x:c>
      <x:c r="L42" s="77" t="str">
        <x:f>IF($A42="","",INDEX('01_架构总表'!$AB$5:$AB$41,MATCH($A42,'01_架构总表'!$A$5:$A$41,0)))</x:f>
        <x:v>量产</x:v>
      </x:c>
      <x:c r="M42" s="77" t="str">
        <x:f>IF($A42="","",INDEX('01_架构总表'!$AG$5:$AG$41,MATCH($A42,'01_架构总表'!$A$5:$A$41,0)))</x:f>
      </x:c>
      <x:c r="N42" s="77" t="str">
        <x:f>IF($A42="","",INDEX('01_架构总表'!$AF$5:$AF$41,MATCH($A42,'01_架构总表'!$A$5:$A$41,0)))</x:f>
        <x:v>S04;S16</x:v>
      </x:c>
      <x:c r="O42" s="78" t="str">
        <x:f>IF(AND(OR($C$4="全部",'01_架构总表'!$B18=$C$4),OR($F$4="全部",'01_架构总表'!$G18=$F$4),OR($I$4="全部",'01_架构总表'!$K18=$I$4),OR($L$4="全部",'01_架构总表'!$O18=$L$4),OR($C$7="全部",'01_架构总表'!$F18=$C$7),OR($F$7="全部",'01_架构总表'!$T18=$F$7),OR($I$7="全部",'01_架构总表'!$V18=$I$7),OR($L$7="全部",'01_架构总表'!$S18=$L$7),OR($C$10="全部",'01_架构总表'!$AB18=$C$10),OR($F$10="全部",'01_架构总表'!$E18=$F$10),OR($I$10="全部",AND($I$10="无Issue",'01_架构总表'!$AG18=""),AND($I$10="有Issue",'01_架构总表'!$AG18&lt;&gt;"")),OR($L$10="全部",AND($L$10="有ASP",'01_架构总表'!$AC18&lt;&gt;""),AND($L$10="需RFQ/无可比价",'01_架构总表'!$AC18=""))),'01_架构总表'!$A18,"")</x:f>
        <x:v>800-O112-2LR4-8E8O-EML</x:v>
      </x:c>
    </x:row>
    <x:row r="43">
      <x:c r="A43" s="77" t="str">
        <x:f>IF($O$42="","",$O$42)</x:f>
        <x:v>800-O112-2LR4-8E8O-EML</x:v>
      </x:c>
      <x:c r="B43" s="77" t="str">
        <x:f>IF($A43="","",INDEX('01_架构总表'!$B$5:$B$41,MATCH($A43,'01_架构总表'!$A$5:$A$41,0)))</x:f>
        <x:v>800G</x:v>
      </x:c>
      <x:c r="C43" s="77" t="str">
        <x:f>IF($A43="","",INDEX('01_架构总表'!$C$5:$C$41,MATCH($A43,'01_架构总表'!$A$5:$A$41,0)))</x:f>
        <x:v>800G-2×LR4 OSFP112</x:v>
      </x:c>
      <x:c r="D43" s="77" t="str">
        <x:f>IF($A43="","",INDEX('01_架构总表'!$F$5:$F$41,MATCH($A43,'01_架构总表'!$A$5:$A$41,0)))</x:f>
        <x:v>OSFP112</x:v>
      </x:c>
      <x:c r="E43" s="77" t="str">
        <x:f>IF($A43="","",INDEX('01_架构总表'!$G$5:$G$41,MATCH($A43,'01_架构总表'!$A$5:$A$41,0)))</x:f>
        <x:v>8×100G</x:v>
      </x:c>
      <x:c r="F43" s="77" t="str">
        <x:f>IF($A43="","",INDEX('01_架构总表'!$K$5:$K$41,MATCH($A43,'01_架构总表'!$A$5:$A$41,0)))</x:f>
        <x:v>8×100G</x:v>
      </x:c>
      <x:c r="G43" s="77" t="str">
        <x:f>IF($A43="","",INDEX('01_架构总表'!$O$5:$O$41,MATCH($A43,'01_架构总表'!$A$5:$A$41,0)))</x:f>
        <x:v>2×LR4/10km</x:v>
      </x:c>
      <x:c r="H43" s="77" t="str">
        <x:f>IF($A43="","",INDEX('01_架构总表'!$T$5:$T$41,MATCH($A43,'01_架构总表'!$A$5:$A$41,0)))</x:f>
        <x:v>EML</x:v>
      </x:c>
      <x:c r="I43" s="77" t="str">
        <x:f>IF($A43="","",INDEX('01_架构总表'!$V$5:$V$41,MATCH($A43,'01_架构总表'!$A$5:$A$41,0)))</x:f>
        <x:v>Retimed</x:v>
      </x:c>
      <x:c r="J43" s="77" t="str">
        <x:f>IF($A43="","",INDEX('01_架构总表'!$S$5:$S$41,MATCH($A43,'01_架构总表'!$A$5:$A$41,0)))</x:f>
        <x:v>Dual LC</x:v>
      </x:c>
      <x:c r="K43" s="27" t="n">
        <x:f>IF($A43="","",INDEX('01_架构总表'!$AC$5:$AC$41,MATCH($A43,'01_架构总表'!$A$5:$A$41,0)))</x:f>
        <x:v>920</x:v>
      </x:c>
      <x:c r="L43" s="77" t="str">
        <x:f>IF($A43="","",INDEX('01_架构总表'!$AB$5:$AB$41,MATCH($A43,'01_架构总表'!$A$5:$A$41,0)))</x:f>
        <x:v>量产</x:v>
      </x:c>
      <x:c r="M43" s="77" t="str">
        <x:f>IF($A43="","",INDEX('01_架构总表'!$AG$5:$AG$41,MATCH($A43,'01_架构总表'!$A$5:$A$41,0)))</x:f>
        <x:v>价格代理</x:v>
      </x:c>
      <x:c r="N43" s="77" t="str">
        <x:f>IF($A43="","",INDEX('01_架构总表'!$AF$5:$AF$41,MATCH($A43,'01_架构总表'!$A$5:$A$41,0)))</x:f>
        <x:v>S05;S16</x:v>
      </x:c>
      <x:c r="O43" s="78" t="str">
        <x:f>IF(AND(OR($C$4="全部",'01_架构总表'!$B19=$C$4),OR($F$4="全部",'01_架构总表'!$G19=$F$4),OR($I$4="全部",'01_架构总表'!$K19=$I$4),OR($L$4="全部",'01_架构总表'!$O19=$L$4),OR($C$7="全部",'01_架构总表'!$F19=$C$7),OR($F$7="全部",'01_架构总表'!$T19=$F$7),OR($I$7="全部",'01_架构总表'!$V19=$I$7),OR($L$7="全部",'01_架构总表'!$S19=$L$7),OR($C$10="全部",'01_架构总表'!$AB19=$C$10),OR($F$10="全部",'01_架构总表'!$E19=$F$10),OR($I$10="全部",AND($I$10="无Issue",'01_架构总表'!$AG19=""),AND($I$10="有Issue",'01_架构总表'!$AG19&lt;&gt;"")),OR($L$10="全部",AND($L$10="有ASP",'01_架构总表'!$AC19&lt;&gt;""),AND($L$10="需RFQ/无可比价",'01_架构总表'!$AC19=""))),'01_架构总表'!$A19,"")</x:f>
        <x:v>800-O112-DR4-8E4O-dEML</x:v>
      </x:c>
    </x:row>
    <x:row r="44">
      <x:c r="A44" s="77" t="str">
        <x:f>IF($O$43="","",$O$43)</x:f>
        <x:v>800-O112-DR4-8E4O-dEML</x:v>
      </x:c>
      <x:c r="B44" s="77" t="str">
        <x:f>IF($A44="","",INDEX('01_架构总表'!$B$5:$B$41,MATCH($A44,'01_架构总表'!$A$5:$A$41,0)))</x:f>
        <x:v>800G</x:v>
      </x:c>
      <x:c r="C44" s="77" t="str">
        <x:f>IF($A44="","",INDEX('01_架构总表'!$C$5:$C$41,MATCH($A44,'01_架构总表'!$A$5:$A$41,0)))</x:f>
        <x:v>800G-DR4 4×200G optics</x:v>
      </x:c>
      <x:c r="D44" s="77" t="str">
        <x:f>IF($A44="","",INDEX('01_架构总表'!$F$5:$F$41,MATCH($A44,'01_架构总表'!$A$5:$A$41,0)))</x:f>
        <x:v>OSFP112</x:v>
      </x:c>
      <x:c r="E44" s="77" t="str">
        <x:f>IF($A44="","",INDEX('01_架构总表'!$G$5:$G$41,MATCH($A44,'01_架构总表'!$A$5:$A$41,0)))</x:f>
        <x:v>8×100G</x:v>
      </x:c>
      <x:c r="F44" s="77" t="str">
        <x:f>IF($A44="","",INDEX('01_架构总表'!$K$5:$K$41,MATCH($A44,'01_架构总表'!$A$5:$A$41,0)))</x:f>
        <x:v>4×200G</x:v>
      </x:c>
      <x:c r="G44" s="77" t="str">
        <x:f>IF($A44="","",INDEX('01_架构总表'!$O$5:$O$41,MATCH($A44,'01_架构总表'!$A$5:$A$41,0)))</x:f>
        <x:v>DR4/500m</x:v>
      </x:c>
      <x:c r="H44" s="77" t="str">
        <x:f>IF($A44="","",INDEX('01_架构总表'!$T$5:$T$41,MATCH($A44,'01_架构总表'!$A$5:$A$41,0)))</x:f>
        <x:v>Differential EML</x:v>
      </x:c>
      <x:c r="I44" s="77" t="str">
        <x:f>IF($A44="","",INDEX('01_架构总表'!$V$5:$V$41,MATCH($A44,'01_架构总表'!$A$5:$A$41,0)))</x:f>
        <x:v>Retimed</x:v>
      </x:c>
      <x:c r="J44" s="77" t="str">
        <x:f>IF($A44="","",INDEX('01_架构总表'!$S$5:$S$41,MATCH($A44,'01_架构总表'!$A$5:$A$41,0)))</x:f>
        <x:v>MPO12</x:v>
      </x:c>
      <x:c r="K44" s="27" t="n">
        <x:f>IF($A44="","",INDEX('01_架构总表'!$AC$5:$AC$41,MATCH($A44,'01_架构总表'!$A$5:$A$41,0)))</x:f>
        <x:v>270</x:v>
      </x:c>
      <x:c r="L44" s="77" t="str">
        <x:f>IF($A44="","",INDEX('01_架构总表'!$AB$5:$AB$41,MATCH($A44,'01_架构总表'!$A$5:$A$41,0)))</x:f>
        <x:v>演示/导入</x:v>
      </x:c>
      <x:c r="M44" s="77" t="str">
        <x:f>IF($A44="","",INDEX('01_架构总表'!$AG$5:$AG$41,MATCH($A44,'01_架构总表'!$A$5:$A$41,0)))</x:f>
      </x:c>
      <x:c r="N44" s="77" t="str">
        <x:f>IF($A44="","",INDEX('01_架构总表'!$AF$5:$AF$41,MATCH($A44,'01_架构总表'!$A$5:$A$41,0)))</x:f>
        <x:v>S06;S16</x:v>
      </x:c>
      <x:c r="O44" s="78" t="str">
        <x:f>IF(AND(OR($C$4="全部",'01_架构总表'!$B20=$C$4),OR($F$4="全部",'01_架构总表'!$G20=$F$4),OR($I$4="全部",'01_架构总表'!$K20=$I$4),OR($L$4="全部",'01_架构总表'!$O20=$L$4),OR($C$7="全部",'01_架构总表'!$F20=$C$7),OR($F$7="全部",'01_架构总表'!$T20=$F$7),OR($I$7="全部",'01_架构总表'!$V20=$I$7),OR($L$7="全部",'01_架构总表'!$S20=$L$7),OR($C$10="全部",'01_架构总表'!$AB20=$C$10),OR($F$10="全部",'01_架构总表'!$E20=$F$10),OR($I$10="全部",AND($I$10="无Issue",'01_架构总表'!$AG20=""),AND($I$10="有Issue",'01_架构总表'!$AG20&lt;&gt;"")),OR($L$10="全部",AND($L$10="有ASP",'01_架构总表'!$AC20&lt;&gt;""),AND($L$10="需RFQ/无可比价",'01_架构总表'!$AC20=""))),'01_架构总表'!$A20,"")</x:f>
        <x:v>800-O224-DR4-4E4O-EML-ILL</x:v>
      </x:c>
    </x:row>
    <x:row r="45">
      <x:c r="A45" s="77" t="str">
        <x:f>IF($O$44="","",$O$44)</x:f>
        <x:v>800-O224-DR4-4E4O-EML-ILL</x:v>
      </x:c>
      <x:c r="B45" s="77" t="str">
        <x:f>IF($A45="","",INDEX('01_架构总表'!$B$5:$B$41,MATCH($A45,'01_架构总表'!$A$5:$A$41,0)))</x:f>
        <x:v>800G</x:v>
      </x:c>
      <x:c r="C45" s="77" t="str">
        <x:f>IF($A45="","",INDEX('01_架构总表'!$C$5:$C$41,MATCH($A45,'01_架构总表'!$A$5:$A$41,0)))</x:f>
        <x:v>800G-DR4 OSFP224</x:v>
      </x:c>
      <x:c r="D45" s="77" t="str">
        <x:f>IF($A45="","",INDEX('01_架构总表'!$F$5:$F$41,MATCH($A45,'01_架构总表'!$A$5:$A$41,0)))</x:f>
        <x:v>OSFP224</x:v>
      </x:c>
      <x:c r="E45" s="77" t="str">
        <x:f>IF($A45="","",INDEX('01_架构总表'!$G$5:$G$41,MATCH($A45,'01_架构总表'!$A$5:$A$41,0)))</x:f>
        <x:v>4×200G</x:v>
      </x:c>
      <x:c r="F45" s="77" t="str">
        <x:f>IF($A45="","",INDEX('01_架构总表'!$K$5:$K$41,MATCH($A45,'01_架构总表'!$A$5:$A$41,0)))</x:f>
        <x:v>4×200G</x:v>
      </x:c>
      <x:c r="G45" s="77" t="str">
        <x:f>IF($A45="","",INDEX('01_架构总表'!$O$5:$O$41,MATCH($A45,'01_架构总表'!$A$5:$A$41,0)))</x:f>
        <x:v>DR4/500m</x:v>
      </x:c>
      <x:c r="H45" s="77" t="str">
        <x:f>IF($A45="","",INDEX('01_架构总表'!$T$5:$T$41,MATCH($A45,'01_架构总表'!$A$5:$A$41,0)))</x:f>
        <x:v>EML</x:v>
      </x:c>
      <x:c r="I45" s="77" t="str">
        <x:f>IF($A45="","",INDEX('01_架构总表'!$V$5:$V$41,MATCH($A45,'01_架构总表'!$A$5:$A$41,0)))</x:f>
        <x:v>Retimed</x:v>
      </x:c>
      <x:c r="J45" s="77" t="str">
        <x:f>IF($A45="","",INDEX('01_架构总表'!$S$5:$S$41,MATCH($A45,'01_架构总表'!$A$5:$A$41,0)))</x:f>
        <x:v>未披露</x:v>
      </x:c>
      <x:c r="K45" s="27" t="n">
        <x:f>IF($A45="","",INDEX('01_架构总表'!$AC$5:$AC$41,MATCH($A45,'01_架构总表'!$A$5:$A$41,0)))</x:f>
        <x:v>270</x:v>
      </x:c>
      <x:c r="L45" s="77" t="str">
        <x:f>IF($A45="","",INDEX('01_架构总表'!$AB$5:$AB$41,MATCH($A45,'01_架构总表'!$A$5:$A$41,0)))</x:f>
        <x:v>导入</x:v>
      </x:c>
      <x:c r="M45" s="77" t="str">
        <x:f>IF($A45="","",INDEX('01_架构总表'!$AG$5:$AG$41,MATCH($A45,'01_架构总表'!$A$5:$A$41,0)))</x:f>
        <x:v>厂商页面内部矛盾</x:v>
      </x:c>
      <x:c r="N45" s="77" t="str">
        <x:f>IF($A45="","",INDEX('01_架构总表'!$AF$5:$AF$41,MATCH($A45,'01_架构总表'!$A$5:$A$41,0)))</x:f>
        <x:v>S07;S16</x:v>
      </x:c>
      <x:c r="O45" s="78" t="str">
        <x:f>IF(AND(OR($C$4="全部",'01_架构总表'!$B21=$C$4),OR($F$4="全部",'01_架构总表'!$G21=$F$4),OR($I$4="全部",'01_架构总表'!$K21=$I$4),OR($L$4="全部",'01_架构总表'!$O21=$L$4),OR($C$7="全部",'01_架构总表'!$F21=$C$7),OR($F$7="全部",'01_架构总表'!$T21=$F$7),OR($I$7="全部",'01_架构总表'!$V21=$I$7),OR($L$7="全部",'01_架构总表'!$S21=$L$7),OR($C$10="全部",'01_架构总表'!$AB21=$C$10),OR($F$10="全部",'01_架构总表'!$E21=$F$10),OR($I$10="全部",AND($I$10="无Issue",'01_架构总表'!$AG21=""),AND($I$10="有Issue",'01_架构总表'!$AG21&lt;&gt;"")),OR($L$10="全部",AND($L$10="有ASP",'01_架构总表'!$AC21&lt;&gt;""),AND($L$10="需RFQ/无可比价",'01_架构总表'!$AC21=""))),'01_架构总表'!$A21,"")</x:f>
        <x:v>800-O112-DR4-8E4O-SIPH</x:v>
      </x:c>
    </x:row>
    <x:row r="46">
      <x:c r="A46" s="77" t="str">
        <x:f>IF($O$45="","",$O$45)</x:f>
        <x:v>800-O112-DR4-8E4O-SIPH</x:v>
      </x:c>
      <x:c r="B46" s="77" t="str">
        <x:f>IF($A46="","",INDEX('01_架构总表'!$B$5:$B$41,MATCH($A46,'01_架构总表'!$A$5:$A$41,0)))</x:f>
        <x:v>800G</x:v>
      </x:c>
      <x:c r="C46" s="77" t="str">
        <x:f>IF($A46="","",INDEX('01_架构总表'!$C$5:$C$41,MATCH($A46,'01_架构总表'!$A$5:$A$41,0)))</x:f>
        <x:v>800G-DR4 SiPh+DSP</x:v>
      </x:c>
      <x:c r="D46" s="77" t="str">
        <x:f>IF($A46="","",INDEX('01_架构总表'!$F$5:$F$41,MATCH($A46,'01_架构总表'!$A$5:$A$41,0)))</x:f>
        <x:v>OSFP112</x:v>
      </x:c>
      <x:c r="E46" s="77" t="str">
        <x:f>IF($A46="","",INDEX('01_架构总表'!$G$5:$G$41,MATCH($A46,'01_架构总表'!$A$5:$A$41,0)))</x:f>
        <x:v>8×100G</x:v>
      </x:c>
      <x:c r="F46" s="77" t="str">
        <x:f>IF($A46="","",INDEX('01_架构总表'!$K$5:$K$41,MATCH($A46,'01_架构总表'!$A$5:$A$41,0)))</x:f>
        <x:v>4×200G</x:v>
      </x:c>
      <x:c r="G46" s="77" t="str">
        <x:f>IF($A46="","",INDEX('01_架构总表'!$O$5:$O$41,MATCH($A46,'01_架构总表'!$A$5:$A$41,0)))</x:f>
        <x:v>DR4/500m</x:v>
      </x:c>
      <x:c r="H46" s="77" t="str">
        <x:f>IF($A46="","",INDEX('01_架构总表'!$T$5:$T$41,MATCH($A46,'01_架构总表'!$A$5:$A$41,0)))</x:f>
        <x:v>CW laser+SiPh MZM</x:v>
      </x:c>
      <x:c r="I46" s="77" t="str">
        <x:f>IF($A46="","",INDEX('01_架构总表'!$V$5:$V$41,MATCH($A46,'01_架构总表'!$A$5:$A$41,0)))</x:f>
        <x:v>Retimed</x:v>
      </x:c>
      <x:c r="J46" s="77" t="str">
        <x:f>IF($A46="","",INDEX('01_架构总表'!$S$5:$S$41,MATCH($A46,'01_架构总表'!$A$5:$A$41,0)))</x:f>
        <x:v>MPO12</x:v>
      </x:c>
      <x:c r="K46" s="27" t="n">
        <x:f>IF($A46="","",INDEX('01_架构总表'!$AC$5:$AC$41,MATCH($A46,'01_架构总表'!$A$5:$A$41,0)))</x:f>
        <x:v>270</x:v>
      </x:c>
      <x:c r="L46" s="77" t="str">
        <x:f>IF($A46="","",INDEX('01_架构总表'!$AB$5:$AB$41,MATCH($A46,'01_架构总表'!$A$5:$A$41,0)))</x:f>
        <x:v>产品系列</x:v>
      </x:c>
      <x:c r="M46" s="77" t="str">
        <x:f>IF($A46="","",INDEX('01_架构总表'!$AG$5:$AG$41,MATCH($A46,'01_架构总表'!$A$5:$A$41,0)))</x:f>
        <x:v>代表性架构</x:v>
      </x:c>
      <x:c r="N46" s="77" t="str">
        <x:f>IF($A46="","",INDEX('01_架构总表'!$AF$5:$AF$41,MATCH($A46,'01_架构总表'!$A$5:$A$41,0)))</x:f>
        <x:v>S08;S16</x:v>
      </x:c>
      <x:c r="O46" s="78" t="str">
        <x:f>IF(AND(OR($C$4="全部",'01_架构总表'!$B22=$C$4),OR($F$4="全部",'01_架构总表'!$G22=$F$4),OR($I$4="全部",'01_架构总表'!$K22=$I$4),OR($L$4="全部",'01_架构总表'!$O22=$L$4),OR($C$7="全部",'01_架构总表'!$F22=$C$7),OR($F$7="全部",'01_架构总表'!$T22=$F$7),OR($I$7="全部",'01_架构总表'!$V22=$I$7),OR($L$7="全部",'01_架构总表'!$S22=$L$7),OR($C$10="全部",'01_架构总表'!$AB22=$C$10),OR($F$10="全部",'01_架构总表'!$E22=$F$10),OR($I$10="全部",AND($I$10="无Issue",'01_架构总表'!$AG22=""),AND($I$10="有Issue",'01_架构总表'!$AG22&lt;&gt;"")),OR($L$10="全部",AND($L$10="有ASP",'01_架构总表'!$AC22&lt;&gt;""),AND($L$10="需RFQ/无可比价",'01_架构总表'!$AC22=""))),'01_架构总表'!$A22,"")</x:f>
        <x:v>800-O112-FR4-8E4O-SIPH</x:v>
      </x:c>
    </x:row>
    <x:row r="47">
      <x:c r="A47" s="77" t="str">
        <x:f>IF($O$46="","",$O$46)</x:f>
        <x:v>800-O112-FR4-8E4O-SIPH</x:v>
      </x:c>
      <x:c r="B47" s="77" t="str">
        <x:f>IF($A47="","",INDEX('01_架构总表'!$B$5:$B$41,MATCH($A47,'01_架构总表'!$A$5:$A$41,0)))</x:f>
        <x:v>800G</x:v>
      </x:c>
      <x:c r="C47" s="77" t="str">
        <x:f>IF($A47="","",INDEX('01_架构总表'!$C$5:$C$41,MATCH($A47,'01_架构总表'!$A$5:$A$41,0)))</x:f>
        <x:v>800G-FR4 SiPh+DSP</x:v>
      </x:c>
      <x:c r="D47" s="77" t="str">
        <x:f>IF($A47="","",INDEX('01_架构总表'!$F$5:$F$41,MATCH($A47,'01_架构总表'!$A$5:$A$41,0)))</x:f>
        <x:v>OSFP112</x:v>
      </x:c>
      <x:c r="E47" s="77" t="str">
        <x:f>IF($A47="","",INDEX('01_架构总表'!$G$5:$G$41,MATCH($A47,'01_架构总表'!$A$5:$A$41,0)))</x:f>
        <x:v>8×100G</x:v>
      </x:c>
      <x:c r="F47" s="77" t="str">
        <x:f>IF($A47="","",INDEX('01_架构总表'!$K$5:$K$41,MATCH($A47,'01_架构总表'!$A$5:$A$41,0)))</x:f>
        <x:v>4×200G</x:v>
      </x:c>
      <x:c r="G47" s="77" t="str">
        <x:f>IF($A47="","",INDEX('01_架构总表'!$O$5:$O$41,MATCH($A47,'01_架构总表'!$A$5:$A$41,0)))</x:f>
        <x:v>FR4/2km</x:v>
      </x:c>
      <x:c r="H47" s="77" t="str">
        <x:f>IF($A47="","",INDEX('01_架构总表'!$T$5:$T$41,MATCH($A47,'01_架构总表'!$A$5:$A$41,0)))</x:f>
        <x:v>CW laser+SiPh MZM</x:v>
      </x:c>
      <x:c r="I47" s="77" t="str">
        <x:f>IF($A47="","",INDEX('01_架构总表'!$V$5:$V$41,MATCH($A47,'01_架构总表'!$A$5:$A$41,0)))</x:f>
        <x:v>Retimed</x:v>
      </x:c>
      <x:c r="J47" s="77" t="str">
        <x:f>IF($A47="","",INDEX('01_架构总表'!$S$5:$S$41,MATCH($A47,'01_架构总表'!$A$5:$A$41,0)))</x:f>
        <x:v>LC</x:v>
      </x:c>
      <x:c r="K47" s="27" t="n">
        <x:f>IF($A47="","",INDEX('01_架构总表'!$AC$5:$AC$41,MATCH($A47,'01_架构总表'!$A$5:$A$41,0)))</x:f>
        <x:v>420</x:v>
      </x:c>
      <x:c r="L47" s="77" t="str">
        <x:f>IF($A47="","",INDEX('01_架构总表'!$AB$5:$AB$41,MATCH($A47,'01_架构总表'!$A$5:$A$41,0)))</x:f>
        <x:v>产品系列</x:v>
      </x:c>
      <x:c r="M47" s="77" t="str">
        <x:f>IF($A47="","",INDEX('01_架构总表'!$AG$5:$AG$41,MATCH($A47,'01_架构总表'!$A$5:$A$41,0)))</x:f>
        <x:v>代表性架构</x:v>
      </x:c>
      <x:c r="N47" s="77" t="str">
        <x:f>IF($A47="","",INDEX('01_架构总表'!$AF$5:$AF$41,MATCH($A47,'01_架构总表'!$A$5:$A$41,0)))</x:f>
        <x:v>S08;S16</x:v>
      </x:c>
      <x:c r="O47" s="78" t="str">
        <x:f>IF(AND(OR($C$4="全部",'01_架构总表'!$B23=$C$4),OR($F$4="全部",'01_架构总表'!$G23=$F$4),OR($I$4="全部",'01_架构总表'!$K23=$I$4),OR($L$4="全部",'01_架构总表'!$O23=$L$4),OR($C$7="全部",'01_架构总表'!$F23=$C$7),OR($F$7="全部",'01_架构总表'!$T23=$F$7),OR($I$7="全部",'01_架构总表'!$V23=$I$7),OR($L$7="全部",'01_架构总表'!$S23=$L$7),OR($C$10="全部",'01_架构总表'!$AB23=$C$10),OR($F$10="全部",'01_架构总表'!$E23=$F$10),OR($I$10="全部",AND($I$10="无Issue",'01_架构总表'!$AG23=""),AND($I$10="有Issue",'01_架构总表'!$AG23&lt;&gt;"")),OR($L$10="全部",AND($L$10="有ASP",'01_架构总表'!$AC23&lt;&gt;""),AND($L$10="需RFQ/无可比价",'01_架构总表'!$AC23=""))),'01_架构总表'!$A23,"")</x:f>
        <x:v>800-O112-2DR4-LPO-SIPH</x:v>
      </x:c>
    </x:row>
    <x:row r="48">
      <x:c r="A48" s="77" t="str">
        <x:f>IF($O$47="","",$O$47)</x:f>
        <x:v>800-O112-2DR4-LPO-SIPH</x:v>
      </x:c>
      <x:c r="B48" s="77" t="str">
        <x:f>IF($A48="","",INDEX('01_架构总表'!$B$5:$B$41,MATCH($A48,'01_架构总表'!$A$5:$A$41,0)))</x:f>
        <x:v>800G</x:v>
      </x:c>
      <x:c r="C48" s="77" t="str">
        <x:f>IF($A48="","",INDEX('01_架构总表'!$C$5:$C$41,MATCH($A48,'01_架构总表'!$A$5:$A$41,0)))</x:f>
        <x:v>800G 2×DR4 LPO</x:v>
      </x:c>
      <x:c r="D48" s="77" t="str">
        <x:f>IF($A48="","",INDEX('01_架构总表'!$F$5:$F$41,MATCH($A48,'01_架构总表'!$A$5:$A$41,0)))</x:f>
        <x:v>OSFP112</x:v>
      </x:c>
      <x:c r="E48" s="77" t="str">
        <x:f>IF($A48="","",INDEX('01_架构总表'!$G$5:$G$41,MATCH($A48,'01_架构总表'!$A$5:$A$41,0)))</x:f>
        <x:v>8×100G</x:v>
      </x:c>
      <x:c r="F48" s="77" t="str">
        <x:f>IF($A48="","",INDEX('01_架构总表'!$K$5:$K$41,MATCH($A48,'01_架构总表'!$A$5:$A$41,0)))</x:f>
        <x:v>8×100G</x:v>
      </x:c>
      <x:c r="G48" s="77" t="str">
        <x:f>IF($A48="","",INDEX('01_架构总表'!$O$5:$O$41,MATCH($A48,'01_架构总表'!$A$5:$A$41,0)))</x:f>
        <x:v>2×DR4/500m</x:v>
      </x:c>
      <x:c r="H48" s="77" t="str">
        <x:f>IF($A48="","",INDEX('01_架构总表'!$T$5:$T$41,MATCH($A48,'01_架构总表'!$A$5:$A$41,0)))</x:f>
        <x:v>CW laser+SiPh</x:v>
      </x:c>
      <x:c r="I48" s="77" t="str">
        <x:f>IF($A48="","",INDEX('01_架构总表'!$V$5:$V$41,MATCH($A48,'01_架构总表'!$A$5:$A$41,0)))</x:f>
        <x:v>LPO</x:v>
      </x:c>
      <x:c r="J48" s="77" t="str">
        <x:f>IF($A48="","",INDEX('01_架构总表'!$S$5:$S$41,MATCH($A48,'01_架构总表'!$A$5:$A$41,0)))</x:f>
        <x:v>Dual MPO12</x:v>
      </x:c>
      <x:c r="K48" s="27" t="str">
        <x:f>IF($A48="","",INDEX('01_架构总表'!$AC$5:$AC$41,MATCH($A48,'01_架构总表'!$A$5:$A$41,0)))</x:f>
      </x:c>
      <x:c r="L48" s="77" t="str">
        <x:f>IF($A48="","",INDEX('01_架构总表'!$AB$5:$AB$41,MATCH($A48,'01_架构总表'!$A$5:$A$41,0)))</x:f>
        <x:v>样品/导入</x:v>
      </x:c>
      <x:c r="M48" s="77" t="str">
        <x:f>IF($A48="","",INDEX('01_架构总表'!$AG$5:$AG$41,MATCH($A48,'01_架构总表'!$A$5:$A$41,0)))</x:f>
        <x:v>需RFQ</x:v>
      </x:c>
      <x:c r="N48" s="77" t="str">
        <x:f>IF($A48="","",INDEX('01_架构总表'!$AF$5:$AF$41,MATCH($A48,'01_架构总表'!$A$5:$A$41,0)))</x:f>
        <x:v>S09</x:v>
      </x:c>
      <x:c r="O48" s="78" t="str">
        <x:f>IF(AND(OR($C$4="全部",'01_架构总表'!$B24=$C$4),OR($F$4="全部",'01_架构总表'!$G24=$F$4),OR($I$4="全部",'01_架构总表'!$K24=$I$4),OR($L$4="全部",'01_架构总表'!$O24=$L$4),OR($C$7="全部",'01_架构总表'!$F24=$C$7),OR($F$7="全部",'01_架构总表'!$T24=$F$7),OR($I$7="全部",'01_架构总表'!$V24=$I$7),OR($L$7="全部",'01_架构总表'!$S24=$L$7),OR($C$10="全部",'01_架构总表'!$AB24=$C$10),OR($F$10="全部",'01_架构总表'!$E24=$F$10),OR($I$10="全部",AND($I$10="无Issue",'01_架构总表'!$AG24=""),AND($I$10="有Issue",'01_架构总表'!$AG24&lt;&gt;"")),OR($L$10="全部",AND($L$10="有ASP",'01_架构总表'!$AC24&lt;&gt;""),AND($L$10="需RFQ/无可比价",'01_架构总表'!$AC24=""))),'01_架构总表'!$A24,"")</x:f>
        <x:v>800-O112-DR8-LRO-SIPH</x:v>
      </x:c>
    </x:row>
    <x:row r="49">
      <x:c r="A49" s="77" t="str">
        <x:f>IF($O$48="","",$O$48)</x:f>
        <x:v>800-O112-DR8-LRO-SIPH</x:v>
      </x:c>
      <x:c r="B49" s="77" t="str">
        <x:f>IF($A49="","",INDEX('01_架构总表'!$B$5:$B$41,MATCH($A49,'01_架构总表'!$A$5:$A$41,0)))</x:f>
        <x:v>800G</x:v>
      </x:c>
      <x:c r="C49" s="77" t="str">
        <x:f>IF($A49="","",INDEX('01_架构总表'!$C$5:$C$41,MATCH($A49,'01_架构总表'!$A$5:$A$41,0)))</x:f>
        <x:v>800G DR8 LRO</x:v>
      </x:c>
      <x:c r="D49" s="77" t="str">
        <x:f>IF($A49="","",INDEX('01_架构总表'!$F$5:$F$41,MATCH($A49,'01_架构总表'!$A$5:$A$41,0)))</x:f>
        <x:v>OSFP112</x:v>
      </x:c>
      <x:c r="E49" s="77" t="str">
        <x:f>IF($A49="","",INDEX('01_架构总表'!$G$5:$G$41,MATCH($A49,'01_架构总表'!$A$5:$A$41,0)))</x:f>
        <x:v>8×100G</x:v>
      </x:c>
      <x:c r="F49" s="77" t="str">
        <x:f>IF($A49="","",INDEX('01_架构总表'!$K$5:$K$41,MATCH($A49,'01_架构总表'!$A$5:$A$41,0)))</x:f>
        <x:v>8×100G</x:v>
      </x:c>
      <x:c r="G49" s="77" t="str">
        <x:f>IF($A49="","",INDEX('01_架构总表'!$O$5:$O$41,MATCH($A49,'01_架构总表'!$A$5:$A$41,0)))</x:f>
        <x:v>DR8/500m</x:v>
      </x:c>
      <x:c r="H49" s="77" t="str">
        <x:f>IF($A49="","",INDEX('01_架构总表'!$T$5:$T$41,MATCH($A49,'01_架构总表'!$A$5:$A$41,0)))</x:f>
        <x:v>CW laser+SiPh</x:v>
      </x:c>
      <x:c r="I49" s="77" t="str">
        <x:f>IF($A49="","",INDEX('01_架构总表'!$V$5:$V$41,MATCH($A49,'01_架构总表'!$A$5:$A$41,0)))</x:f>
        <x:v>LRO</x:v>
      </x:c>
      <x:c r="J49" s="77" t="str">
        <x:f>IF($A49="","",INDEX('01_架构总表'!$S$5:$S$41,MATCH($A49,'01_架构总表'!$A$5:$A$41,0)))</x:f>
        <x:v>MPO16</x:v>
      </x:c>
      <x:c r="K49" s="27" t="str">
        <x:f>IF($A49="","",INDEX('01_架构总表'!$AC$5:$AC$41,MATCH($A49,'01_架构总表'!$A$5:$A$41,0)))</x:f>
      </x:c>
      <x:c r="L49" s="77" t="str">
        <x:f>IF($A49="","",INDEX('01_架构总表'!$AB$5:$AB$41,MATCH($A49,'01_架构总表'!$A$5:$A$41,0)))</x:f>
        <x:v>样品/导入</x:v>
      </x:c>
      <x:c r="M49" s="77" t="str">
        <x:f>IF($A49="","",INDEX('01_架构总表'!$AG$5:$AG$41,MATCH($A49,'01_架构总表'!$A$5:$A$41,0)))</x:f>
        <x:v>需RFQ</x:v>
      </x:c>
      <x:c r="N49" s="77" t="str">
        <x:f>IF($A49="","",INDEX('01_架构总表'!$AF$5:$AF$41,MATCH($A49,'01_架构总表'!$A$5:$A$41,0)))</x:f>
        <x:v>S09</x:v>
      </x:c>
      <x:c r="O49" s="78" t="str">
        <x:f>IF(AND(OR($C$4="全部",'01_架构总表'!$B25=$C$4),OR($F$4="全部",'01_架构总表'!$G25=$F$4),OR($I$4="全部",'01_架构总表'!$K25=$I$4),OR($L$4="全部",'01_架构总表'!$O25=$L$4),OR($C$7="全部",'01_架构总表'!$F25=$C$7),OR($F$7="全部",'01_架构总表'!$T25=$F$7),OR($I$7="全部",'01_架构总表'!$V25=$I$7),OR($L$7="全部",'01_架构总表'!$S25=$L$7),OR($C$10="全部",'01_架构总表'!$AB25=$C$10),OR($F$10="全部",'01_架构总表'!$E25=$F$10),OR($I$10="全部",AND($I$10="无Issue",'01_架构总表'!$AG25=""),AND($I$10="有Issue",'01_架构总表'!$AG25&lt;&gt;"")),OR($L$10="全部",AND($L$10="有ASP",'01_架构总表'!$AC25&lt;&gt;""),AND($L$10="需RFQ/无可比价",'01_架构总表'!$AC25=""))),'01_架构总表'!$A25,"")</x:f>
      </x:c>
    </x:row>
    <x:row r="50">
      <x:c r="A50" s="77" t="str">
        <x:f>IF($O$49="","",$O$49)</x:f>
      </x:c>
      <x:c r="B50" s="77" t="str">
        <x:f>IF($A50="","",INDEX('01_架构总表'!$B$5:$B$41,MATCH($A50,'01_架构总表'!$A$5:$A$41,0)))</x:f>
      </x:c>
      <x:c r="C50" s="77" t="str">
        <x:f>IF($A50="","",INDEX('01_架构总表'!$C$5:$C$41,MATCH($A50,'01_架构总表'!$A$5:$A$41,0)))</x:f>
      </x:c>
      <x:c r="D50" s="77" t="str">
        <x:f>IF($A50="","",INDEX('01_架构总表'!$F$5:$F$41,MATCH($A50,'01_架构总表'!$A$5:$A$41,0)))</x:f>
      </x:c>
      <x:c r="E50" s="77" t="str">
        <x:f>IF($A50="","",INDEX('01_架构总表'!$G$5:$G$41,MATCH($A50,'01_架构总表'!$A$5:$A$41,0)))</x:f>
      </x:c>
      <x:c r="F50" s="77" t="str">
        <x:f>IF($A50="","",INDEX('01_架构总表'!$K$5:$K$41,MATCH($A50,'01_架构总表'!$A$5:$A$41,0)))</x:f>
      </x:c>
      <x:c r="G50" s="77" t="str">
        <x:f>IF($A50="","",INDEX('01_架构总表'!$O$5:$O$41,MATCH($A50,'01_架构总表'!$A$5:$A$41,0)))</x:f>
      </x:c>
      <x:c r="H50" s="77" t="str">
        <x:f>IF($A50="","",INDEX('01_架构总表'!$T$5:$T$41,MATCH($A50,'01_架构总表'!$A$5:$A$41,0)))</x:f>
      </x:c>
      <x:c r="I50" s="77" t="str">
        <x:f>IF($A50="","",INDEX('01_架构总表'!$V$5:$V$41,MATCH($A50,'01_架构总表'!$A$5:$A$41,0)))</x:f>
      </x:c>
      <x:c r="J50" s="77" t="str">
        <x:f>IF($A50="","",INDEX('01_架构总表'!$S$5:$S$41,MATCH($A50,'01_架构总表'!$A$5:$A$41,0)))</x:f>
      </x:c>
      <x:c r="K50" s="27" t="str">
        <x:f>IF($A50="","",INDEX('01_架构总表'!$AC$5:$AC$41,MATCH($A50,'01_架构总表'!$A$5:$A$41,0)))</x:f>
      </x:c>
      <x:c r="L50" s="77" t="str">
        <x:f>IF($A50="","",INDEX('01_架构总表'!$AB$5:$AB$41,MATCH($A50,'01_架构总表'!$A$5:$A$41,0)))</x:f>
      </x:c>
      <x:c r="M50" s="77" t="str">
        <x:f>IF($A50="","",INDEX('01_架构总表'!$AG$5:$AG$41,MATCH($A50,'01_架构总表'!$A$5:$A$41,0)))</x:f>
      </x:c>
      <x:c r="N50" s="77" t="str">
        <x:f>IF($A50="","",INDEX('01_架构总表'!$AF$5:$AF$41,MATCH($A50,'01_架构总表'!$A$5:$A$41,0)))</x:f>
      </x:c>
      <x:c r="O50" s="78" t="str">
        <x:f>IF(AND(OR($C$4="全部",'01_架构总表'!$B26=$C$4),OR($F$4="全部",'01_架构总表'!$G26=$F$4),OR($I$4="全部",'01_架构总表'!$K26=$I$4),OR($L$4="全部",'01_架构总表'!$O26=$L$4),OR($C$7="全部",'01_架构总表'!$F26=$C$7),OR($F$7="全部",'01_架构总表'!$T26=$F$7),OR($I$7="全部",'01_架构总表'!$V26=$I$7),OR($L$7="全部",'01_架构总表'!$S26=$L$7),OR($C$10="全部",'01_架构总表'!$AB26=$C$10),OR($F$10="全部",'01_架构总表'!$E26=$F$10),OR($I$10="全部",AND($I$10="无Issue",'01_架构总表'!$AG26=""),AND($I$10="有Issue",'01_架构总表'!$AG26&lt;&gt;"")),OR($L$10="全部",AND($L$10="有ASP",'01_架构总表'!$AC26&lt;&gt;""),AND($L$10="需RFQ/无可比价",'01_架构总表'!$AC26=""))),'01_架构总表'!$A26,"")</x:f>
      </x:c>
    </x:row>
    <x:row r="51">
      <x:c r="A51" s="77" t="str">
        <x:f>IF($O$50="","",$O$50)</x:f>
      </x:c>
      <x:c r="B51" s="77" t="str">
        <x:f>IF($A51="","",INDEX('01_架构总表'!$B$5:$B$41,MATCH($A51,'01_架构总表'!$A$5:$A$41,0)))</x:f>
      </x:c>
      <x:c r="C51" s="77" t="str">
        <x:f>IF($A51="","",INDEX('01_架构总表'!$C$5:$C$41,MATCH($A51,'01_架构总表'!$A$5:$A$41,0)))</x:f>
      </x:c>
      <x:c r="D51" s="77" t="str">
        <x:f>IF($A51="","",INDEX('01_架构总表'!$F$5:$F$41,MATCH($A51,'01_架构总表'!$A$5:$A$41,0)))</x:f>
      </x:c>
      <x:c r="E51" s="77" t="str">
        <x:f>IF($A51="","",INDEX('01_架构总表'!$G$5:$G$41,MATCH($A51,'01_架构总表'!$A$5:$A$41,0)))</x:f>
      </x:c>
      <x:c r="F51" s="77" t="str">
        <x:f>IF($A51="","",INDEX('01_架构总表'!$K$5:$K$41,MATCH($A51,'01_架构总表'!$A$5:$A$41,0)))</x:f>
      </x:c>
      <x:c r="G51" s="77" t="str">
        <x:f>IF($A51="","",INDEX('01_架构总表'!$O$5:$O$41,MATCH($A51,'01_架构总表'!$A$5:$A$41,0)))</x:f>
      </x:c>
      <x:c r="H51" s="77" t="str">
        <x:f>IF($A51="","",INDEX('01_架构总表'!$T$5:$T$41,MATCH($A51,'01_架构总表'!$A$5:$A$41,0)))</x:f>
      </x:c>
      <x:c r="I51" s="77" t="str">
        <x:f>IF($A51="","",INDEX('01_架构总表'!$V$5:$V$41,MATCH($A51,'01_架构总表'!$A$5:$A$41,0)))</x:f>
      </x:c>
      <x:c r="J51" s="77" t="str">
        <x:f>IF($A51="","",INDEX('01_架构总表'!$S$5:$S$41,MATCH($A51,'01_架构总表'!$A$5:$A$41,0)))</x:f>
      </x:c>
      <x:c r="K51" s="27" t="str">
        <x:f>IF($A51="","",INDEX('01_架构总表'!$AC$5:$AC$41,MATCH($A51,'01_架构总表'!$A$5:$A$41,0)))</x:f>
      </x:c>
      <x:c r="L51" s="77" t="str">
        <x:f>IF($A51="","",INDEX('01_架构总表'!$AB$5:$AB$41,MATCH($A51,'01_架构总表'!$A$5:$A$41,0)))</x:f>
      </x:c>
      <x:c r="M51" s="77" t="str">
        <x:f>IF($A51="","",INDEX('01_架构总表'!$AG$5:$AG$41,MATCH($A51,'01_架构总表'!$A$5:$A$41,0)))</x:f>
      </x:c>
      <x:c r="N51" s="77" t="str">
        <x:f>IF($A51="","",INDEX('01_架构总表'!$AF$5:$AF$41,MATCH($A51,'01_架构总表'!$A$5:$A$41,0)))</x:f>
      </x:c>
      <x:c r="O51" s="78" t="str">
        <x:f>IF(AND(OR($C$4="全部",'01_架构总表'!$B27=$C$4),OR($F$4="全部",'01_架构总表'!$G27=$F$4),OR($I$4="全部",'01_架构总表'!$K27=$I$4),OR($L$4="全部",'01_架构总表'!$O27=$L$4),OR($C$7="全部",'01_架构总表'!$F27=$C$7),OR($F$7="全部",'01_架构总表'!$T27=$F$7),OR($I$7="全部",'01_架构总表'!$V27=$I$7),OR($L$7="全部",'01_架构总表'!$S27=$L$7),OR($C$10="全部",'01_架构总表'!$AB27=$C$10),OR($F$10="全部",'01_架构总表'!$E27=$F$10),OR($I$10="全部",AND($I$10="无Issue",'01_架构总表'!$AG27=""),AND($I$10="有Issue",'01_架构总表'!$AG27&lt;&gt;"")),OR($L$10="全部",AND($L$10="有ASP",'01_架构总表'!$AC27&lt;&gt;""),AND($L$10="需RFQ/无可比价",'01_架构总表'!$AC27=""))),'01_架构总表'!$A27,"")</x:f>
      </x:c>
    </x:row>
    <x:row r="52">
      <x:c r="A52" s="77" t="str">
        <x:f>IF($O$51="","",$O$51)</x:f>
      </x:c>
      <x:c r="B52" s="77" t="str">
        <x:f>IF($A52="","",INDEX('01_架构总表'!$B$5:$B$41,MATCH($A52,'01_架构总表'!$A$5:$A$41,0)))</x:f>
      </x:c>
      <x:c r="C52" s="77" t="str">
        <x:f>IF($A52="","",INDEX('01_架构总表'!$C$5:$C$41,MATCH($A52,'01_架构总表'!$A$5:$A$41,0)))</x:f>
      </x:c>
      <x:c r="D52" s="77" t="str">
        <x:f>IF($A52="","",INDEX('01_架构总表'!$F$5:$F$41,MATCH($A52,'01_架构总表'!$A$5:$A$41,0)))</x:f>
      </x:c>
      <x:c r="E52" s="77" t="str">
        <x:f>IF($A52="","",INDEX('01_架构总表'!$G$5:$G$41,MATCH($A52,'01_架构总表'!$A$5:$A$41,0)))</x:f>
      </x:c>
      <x:c r="F52" s="77" t="str">
        <x:f>IF($A52="","",INDEX('01_架构总表'!$K$5:$K$41,MATCH($A52,'01_架构总表'!$A$5:$A$41,0)))</x:f>
      </x:c>
      <x:c r="G52" s="77" t="str">
        <x:f>IF($A52="","",INDEX('01_架构总表'!$O$5:$O$41,MATCH($A52,'01_架构总表'!$A$5:$A$41,0)))</x:f>
      </x:c>
      <x:c r="H52" s="77" t="str">
        <x:f>IF($A52="","",INDEX('01_架构总表'!$T$5:$T$41,MATCH($A52,'01_架构总表'!$A$5:$A$41,0)))</x:f>
      </x:c>
      <x:c r="I52" s="77" t="str">
        <x:f>IF($A52="","",INDEX('01_架构总表'!$V$5:$V$41,MATCH($A52,'01_架构总表'!$A$5:$A$41,0)))</x:f>
      </x:c>
      <x:c r="J52" s="77" t="str">
        <x:f>IF($A52="","",INDEX('01_架构总表'!$S$5:$S$41,MATCH($A52,'01_架构总表'!$A$5:$A$41,0)))</x:f>
      </x:c>
      <x:c r="K52" s="27" t="str">
        <x:f>IF($A52="","",INDEX('01_架构总表'!$AC$5:$AC$41,MATCH($A52,'01_架构总表'!$A$5:$A$41,0)))</x:f>
      </x:c>
      <x:c r="L52" s="77" t="str">
        <x:f>IF($A52="","",INDEX('01_架构总表'!$AB$5:$AB$41,MATCH($A52,'01_架构总表'!$A$5:$A$41,0)))</x:f>
      </x:c>
      <x:c r="M52" s="77" t="str">
        <x:f>IF($A52="","",INDEX('01_架构总表'!$AG$5:$AG$41,MATCH($A52,'01_架构总表'!$A$5:$A$41,0)))</x:f>
      </x:c>
      <x:c r="N52" s="77" t="str">
        <x:f>IF($A52="","",INDEX('01_架构总表'!$AF$5:$AF$41,MATCH($A52,'01_架构总表'!$A$5:$A$41,0)))</x:f>
      </x:c>
      <x:c r="O52" s="78" t="str">
        <x:f>IF(AND(OR($C$4="全部",'01_架构总表'!$B28=$C$4),OR($F$4="全部",'01_架构总表'!$G28=$F$4),OR($I$4="全部",'01_架构总表'!$K28=$I$4),OR($L$4="全部",'01_架构总表'!$O28=$L$4),OR($C$7="全部",'01_架构总表'!$F28=$C$7),OR($F$7="全部",'01_架构总表'!$T28=$F$7),OR($I$7="全部",'01_架构总表'!$V28=$I$7),OR($L$7="全部",'01_架构总表'!$S28=$L$7),OR($C$10="全部",'01_架构总表'!$AB28=$C$10),OR($F$10="全部",'01_架构总表'!$E28=$F$10),OR($I$10="全部",AND($I$10="无Issue",'01_架构总表'!$AG28=""),AND($I$10="有Issue",'01_架构总表'!$AG28&lt;&gt;"")),OR($L$10="全部",AND($L$10="有ASP",'01_架构总表'!$AC28&lt;&gt;""),AND($L$10="需RFQ/无可比价",'01_架构总表'!$AC28=""))),'01_架构总表'!$A28,"")</x:f>
      </x:c>
    </x:row>
    <x:row r="53">
      <x:c r="A53" s="77" t="str">
        <x:f>IF($O$52="","",$O$52)</x:f>
      </x:c>
      <x:c r="B53" s="77" t="str">
        <x:f>IF($A53="","",INDEX('01_架构总表'!$B$5:$B$41,MATCH($A53,'01_架构总表'!$A$5:$A$41,0)))</x:f>
      </x:c>
      <x:c r="C53" s="77" t="str">
        <x:f>IF($A53="","",INDEX('01_架构总表'!$C$5:$C$41,MATCH($A53,'01_架构总表'!$A$5:$A$41,0)))</x:f>
      </x:c>
      <x:c r="D53" s="77" t="str">
        <x:f>IF($A53="","",INDEX('01_架构总表'!$F$5:$F$41,MATCH($A53,'01_架构总表'!$A$5:$A$41,0)))</x:f>
      </x:c>
      <x:c r="E53" s="77" t="str">
        <x:f>IF($A53="","",INDEX('01_架构总表'!$G$5:$G$41,MATCH($A53,'01_架构总表'!$A$5:$A$41,0)))</x:f>
      </x:c>
      <x:c r="F53" s="77" t="str">
        <x:f>IF($A53="","",INDEX('01_架构总表'!$K$5:$K$41,MATCH($A53,'01_架构总表'!$A$5:$A$41,0)))</x:f>
      </x:c>
      <x:c r="G53" s="77" t="str">
        <x:f>IF($A53="","",INDEX('01_架构总表'!$O$5:$O$41,MATCH($A53,'01_架构总表'!$A$5:$A$41,0)))</x:f>
      </x:c>
      <x:c r="H53" s="77" t="str">
        <x:f>IF($A53="","",INDEX('01_架构总表'!$T$5:$T$41,MATCH($A53,'01_架构总表'!$A$5:$A$41,0)))</x:f>
      </x:c>
      <x:c r="I53" s="77" t="str">
        <x:f>IF($A53="","",INDEX('01_架构总表'!$V$5:$V$41,MATCH($A53,'01_架构总表'!$A$5:$A$41,0)))</x:f>
      </x:c>
      <x:c r="J53" s="77" t="str">
        <x:f>IF($A53="","",INDEX('01_架构总表'!$S$5:$S$41,MATCH($A53,'01_架构总表'!$A$5:$A$41,0)))</x:f>
      </x:c>
      <x:c r="K53" s="27" t="str">
        <x:f>IF($A53="","",INDEX('01_架构总表'!$AC$5:$AC$41,MATCH($A53,'01_架构总表'!$A$5:$A$41,0)))</x:f>
      </x:c>
      <x:c r="L53" s="77" t="str">
        <x:f>IF($A53="","",INDEX('01_架构总表'!$AB$5:$AB$41,MATCH($A53,'01_架构总表'!$A$5:$A$41,0)))</x:f>
      </x:c>
      <x:c r="M53" s="77" t="str">
        <x:f>IF($A53="","",INDEX('01_架构总表'!$AG$5:$AG$41,MATCH($A53,'01_架构总表'!$A$5:$A$41,0)))</x:f>
      </x:c>
      <x:c r="N53" s="77" t="str">
        <x:f>IF($A53="","",INDEX('01_架构总表'!$AF$5:$AF$41,MATCH($A53,'01_架构总表'!$A$5:$A$41,0)))</x:f>
      </x:c>
      <x:c r="O53" s="78" t="str">
        <x:f>IF(AND(OR($C$4="全部",'01_架构总表'!$B29=$C$4),OR($F$4="全部",'01_架构总表'!$G29=$F$4),OR($I$4="全部",'01_架构总表'!$K29=$I$4),OR($L$4="全部",'01_架构总表'!$O29=$L$4),OR($C$7="全部",'01_架构总表'!$F29=$C$7),OR($F$7="全部",'01_架构总表'!$T29=$F$7),OR($I$7="全部",'01_架构总表'!$V29=$I$7),OR($L$7="全部",'01_架构总表'!$S29=$L$7),OR($C$10="全部",'01_架构总表'!$AB29=$C$10),OR($F$10="全部",'01_架构总表'!$E29=$F$10),OR($I$10="全部",AND($I$10="无Issue",'01_架构总表'!$AG29=""),AND($I$10="有Issue",'01_架构总表'!$AG29&lt;&gt;"")),OR($L$10="全部",AND($L$10="有ASP",'01_架构总表'!$AC29&lt;&gt;""),AND($L$10="需RFQ/无可比价",'01_架构总表'!$AC29=""))),'01_架构总表'!$A29,"")</x:f>
      </x:c>
    </x:row>
    <x:row r="54">
      <x:c r="A54" s="77" t="str">
        <x:f>IF($O$53="","",$O$53)</x:f>
      </x:c>
      <x:c r="B54" s="77" t="str">
        <x:f>IF($A54="","",INDEX('01_架构总表'!$B$5:$B$41,MATCH($A54,'01_架构总表'!$A$5:$A$41,0)))</x:f>
      </x:c>
      <x:c r="C54" s="77" t="str">
        <x:f>IF($A54="","",INDEX('01_架构总表'!$C$5:$C$41,MATCH($A54,'01_架构总表'!$A$5:$A$41,0)))</x:f>
      </x:c>
      <x:c r="D54" s="77" t="str">
        <x:f>IF($A54="","",INDEX('01_架构总表'!$F$5:$F$41,MATCH($A54,'01_架构总表'!$A$5:$A$41,0)))</x:f>
      </x:c>
      <x:c r="E54" s="77" t="str">
        <x:f>IF($A54="","",INDEX('01_架构总表'!$G$5:$G$41,MATCH($A54,'01_架构总表'!$A$5:$A$41,0)))</x:f>
      </x:c>
      <x:c r="F54" s="77" t="str">
        <x:f>IF($A54="","",INDEX('01_架构总表'!$K$5:$K$41,MATCH($A54,'01_架构总表'!$A$5:$A$41,0)))</x:f>
      </x:c>
      <x:c r="G54" s="77" t="str">
        <x:f>IF($A54="","",INDEX('01_架构总表'!$O$5:$O$41,MATCH($A54,'01_架构总表'!$A$5:$A$41,0)))</x:f>
      </x:c>
      <x:c r="H54" s="77" t="str">
        <x:f>IF($A54="","",INDEX('01_架构总表'!$T$5:$T$41,MATCH($A54,'01_架构总表'!$A$5:$A$41,0)))</x:f>
      </x:c>
      <x:c r="I54" s="77" t="str">
        <x:f>IF($A54="","",INDEX('01_架构总表'!$V$5:$V$41,MATCH($A54,'01_架构总表'!$A$5:$A$41,0)))</x:f>
      </x:c>
      <x:c r="J54" s="77" t="str">
        <x:f>IF($A54="","",INDEX('01_架构总表'!$S$5:$S$41,MATCH($A54,'01_架构总表'!$A$5:$A$41,0)))</x:f>
      </x:c>
      <x:c r="K54" s="27" t="str">
        <x:f>IF($A54="","",INDEX('01_架构总表'!$AC$5:$AC$41,MATCH($A54,'01_架构总表'!$A$5:$A$41,0)))</x:f>
      </x:c>
      <x:c r="L54" s="77" t="str">
        <x:f>IF($A54="","",INDEX('01_架构总表'!$AB$5:$AB$41,MATCH($A54,'01_架构总表'!$A$5:$A$41,0)))</x:f>
      </x:c>
      <x:c r="M54" s="77" t="str">
        <x:f>IF($A54="","",INDEX('01_架构总表'!$AG$5:$AG$41,MATCH($A54,'01_架构总表'!$A$5:$A$41,0)))</x:f>
      </x:c>
      <x:c r="N54" s="77" t="str">
        <x:f>IF($A54="","",INDEX('01_架构总表'!$AF$5:$AF$41,MATCH($A54,'01_架构总表'!$A$5:$A$41,0)))</x:f>
      </x:c>
      <x:c r="O54" s="78" t="str">
        <x:f>IF(AND(OR($C$4="全部",'01_架构总表'!$B30=$C$4),OR($F$4="全部",'01_架构总表'!$G30=$F$4),OR($I$4="全部",'01_架构总表'!$K30=$I$4),OR($L$4="全部",'01_架构总表'!$O30=$L$4),OR($C$7="全部",'01_架构总表'!$F30=$C$7),OR($F$7="全部",'01_架构总表'!$T30=$F$7),OR($I$7="全部",'01_架构总表'!$V30=$I$7),OR($L$7="全部",'01_架构总表'!$S30=$L$7),OR($C$10="全部",'01_架构总表'!$AB30=$C$10),OR($F$10="全部",'01_架构总表'!$E30=$F$10),OR($I$10="全部",AND($I$10="无Issue",'01_架构总表'!$AG30=""),AND($I$10="有Issue",'01_架构总表'!$AG30&lt;&gt;"")),OR($L$10="全部",AND($L$10="有ASP",'01_架构总表'!$AC30&lt;&gt;""),AND($L$10="需RFQ/无可比价",'01_架构总表'!$AC30=""))),'01_架构总表'!$A30,"")</x:f>
      </x:c>
    </x:row>
    <x:row r="55">
      <x:c r="A55" s="77" t="str">
        <x:f>IF($O$54="","",$O$54)</x:f>
      </x:c>
      <x:c r="B55" s="77" t="str">
        <x:f>IF($A55="","",INDEX('01_架构总表'!$B$5:$B$41,MATCH($A55,'01_架构总表'!$A$5:$A$41,0)))</x:f>
      </x:c>
      <x:c r="C55" s="77" t="str">
        <x:f>IF($A55="","",INDEX('01_架构总表'!$C$5:$C$41,MATCH($A55,'01_架构总表'!$A$5:$A$41,0)))</x:f>
      </x:c>
      <x:c r="D55" s="77" t="str">
        <x:f>IF($A55="","",INDEX('01_架构总表'!$F$5:$F$41,MATCH($A55,'01_架构总表'!$A$5:$A$41,0)))</x:f>
      </x:c>
      <x:c r="E55" s="77" t="str">
        <x:f>IF($A55="","",INDEX('01_架构总表'!$G$5:$G$41,MATCH($A55,'01_架构总表'!$A$5:$A$41,0)))</x:f>
      </x:c>
      <x:c r="F55" s="77" t="str">
        <x:f>IF($A55="","",INDEX('01_架构总表'!$K$5:$K$41,MATCH($A55,'01_架构总表'!$A$5:$A$41,0)))</x:f>
      </x:c>
      <x:c r="G55" s="77" t="str">
        <x:f>IF($A55="","",INDEX('01_架构总表'!$O$5:$O$41,MATCH($A55,'01_架构总表'!$A$5:$A$41,0)))</x:f>
      </x:c>
      <x:c r="H55" s="77" t="str">
        <x:f>IF($A55="","",INDEX('01_架构总表'!$T$5:$T$41,MATCH($A55,'01_架构总表'!$A$5:$A$41,0)))</x:f>
      </x:c>
      <x:c r="I55" s="77" t="str">
        <x:f>IF($A55="","",INDEX('01_架构总表'!$V$5:$V$41,MATCH($A55,'01_架构总表'!$A$5:$A$41,0)))</x:f>
      </x:c>
      <x:c r="J55" s="77" t="str">
        <x:f>IF($A55="","",INDEX('01_架构总表'!$S$5:$S$41,MATCH($A55,'01_架构总表'!$A$5:$A$41,0)))</x:f>
      </x:c>
      <x:c r="K55" s="27" t="str">
        <x:f>IF($A55="","",INDEX('01_架构总表'!$AC$5:$AC$41,MATCH($A55,'01_架构总表'!$A$5:$A$41,0)))</x:f>
      </x:c>
      <x:c r="L55" s="77" t="str">
        <x:f>IF($A55="","",INDEX('01_架构总表'!$AB$5:$AB$41,MATCH($A55,'01_架构总表'!$A$5:$A$41,0)))</x:f>
      </x:c>
      <x:c r="M55" s="77" t="str">
        <x:f>IF($A55="","",INDEX('01_架构总表'!$AG$5:$AG$41,MATCH($A55,'01_架构总表'!$A$5:$A$41,0)))</x:f>
      </x:c>
      <x:c r="N55" s="77" t="str">
        <x:f>IF($A55="","",INDEX('01_架构总表'!$AF$5:$AF$41,MATCH($A55,'01_架构总表'!$A$5:$A$41,0)))</x:f>
      </x:c>
      <x:c r="O55" s="78" t="str">
        <x:f>IF(AND(OR($C$4="全部",'01_架构总表'!$B31=$C$4),OR($F$4="全部",'01_架构总表'!$G31=$F$4),OR($I$4="全部",'01_架构总表'!$K31=$I$4),OR($L$4="全部",'01_架构总表'!$O31=$L$4),OR($C$7="全部",'01_架构总表'!$F31=$C$7),OR($F$7="全部",'01_架构总表'!$T31=$F$7),OR($I$7="全部",'01_架构总表'!$V31=$I$7),OR($L$7="全部",'01_架构总表'!$S31=$L$7),OR($C$10="全部",'01_架构总表'!$AB31=$C$10),OR($F$10="全部",'01_架构总表'!$E31=$F$10),OR($I$10="全部",AND($I$10="无Issue",'01_架构总表'!$AG31=""),AND($I$10="有Issue",'01_架构总表'!$AG31&lt;&gt;"")),OR($L$10="全部",AND($L$10="有ASP",'01_架构总表'!$AC31&lt;&gt;""),AND($L$10="需RFQ/无可比价",'01_架构总表'!$AC31=""))),'01_架构总表'!$A31,"")</x:f>
      </x:c>
    </x:row>
    <x:row r="56">
      <x:c r="A56" s="77" t="str">
        <x:f>IF($O$55="","",$O$55)</x:f>
      </x:c>
      <x:c r="B56" s="77" t="str">
        <x:f>IF($A56="","",INDEX('01_架构总表'!$B$5:$B$41,MATCH($A56,'01_架构总表'!$A$5:$A$41,0)))</x:f>
      </x:c>
      <x:c r="C56" s="77" t="str">
        <x:f>IF($A56="","",INDEX('01_架构总表'!$C$5:$C$41,MATCH($A56,'01_架构总表'!$A$5:$A$41,0)))</x:f>
      </x:c>
      <x:c r="D56" s="77" t="str">
        <x:f>IF($A56="","",INDEX('01_架构总表'!$F$5:$F$41,MATCH($A56,'01_架构总表'!$A$5:$A$41,0)))</x:f>
      </x:c>
      <x:c r="E56" s="77" t="str">
        <x:f>IF($A56="","",INDEX('01_架构总表'!$G$5:$G$41,MATCH($A56,'01_架构总表'!$A$5:$A$41,0)))</x:f>
      </x:c>
      <x:c r="F56" s="77" t="str">
        <x:f>IF($A56="","",INDEX('01_架构总表'!$K$5:$K$41,MATCH($A56,'01_架构总表'!$A$5:$A$41,0)))</x:f>
      </x:c>
      <x:c r="G56" s="77" t="str">
        <x:f>IF($A56="","",INDEX('01_架构总表'!$O$5:$O$41,MATCH($A56,'01_架构总表'!$A$5:$A$41,0)))</x:f>
      </x:c>
      <x:c r="H56" s="77" t="str">
        <x:f>IF($A56="","",INDEX('01_架构总表'!$T$5:$T$41,MATCH($A56,'01_架构总表'!$A$5:$A$41,0)))</x:f>
      </x:c>
      <x:c r="I56" s="77" t="str">
        <x:f>IF($A56="","",INDEX('01_架构总表'!$V$5:$V$41,MATCH($A56,'01_架构总表'!$A$5:$A$41,0)))</x:f>
      </x:c>
      <x:c r="J56" s="77" t="str">
        <x:f>IF($A56="","",INDEX('01_架构总表'!$S$5:$S$41,MATCH($A56,'01_架构总表'!$A$5:$A$41,0)))</x:f>
      </x:c>
      <x:c r="K56" s="27" t="str">
        <x:f>IF($A56="","",INDEX('01_架构总表'!$AC$5:$AC$41,MATCH($A56,'01_架构总表'!$A$5:$A$41,0)))</x:f>
      </x:c>
      <x:c r="L56" s="77" t="str">
        <x:f>IF($A56="","",INDEX('01_架构总表'!$AB$5:$AB$41,MATCH($A56,'01_架构总表'!$A$5:$A$41,0)))</x:f>
      </x:c>
      <x:c r="M56" s="77" t="str">
        <x:f>IF($A56="","",INDEX('01_架构总表'!$AG$5:$AG$41,MATCH($A56,'01_架构总表'!$A$5:$A$41,0)))</x:f>
      </x:c>
      <x:c r="N56" s="77" t="str">
        <x:f>IF($A56="","",INDEX('01_架构总表'!$AF$5:$AF$41,MATCH($A56,'01_架构总表'!$A$5:$A$41,0)))</x:f>
      </x:c>
      <x:c r="O56" s="78" t="str">
        <x:f>IF(AND(OR($C$4="全部",'01_架构总表'!$B32=$C$4),OR($F$4="全部",'01_架构总表'!$G32=$F$4),OR($I$4="全部",'01_架构总表'!$K32=$I$4),OR($L$4="全部",'01_架构总表'!$O32=$L$4),OR($C$7="全部",'01_架构总表'!$F32=$C$7),OR($F$7="全部",'01_架构总表'!$T32=$F$7),OR($I$7="全部",'01_架构总表'!$V32=$I$7),OR($L$7="全部",'01_架构总表'!$S32=$L$7),OR($C$10="全部",'01_架构总表'!$AB32=$C$10),OR($F$10="全部",'01_架构总表'!$E32=$F$10),OR($I$10="全部",AND($I$10="无Issue",'01_架构总表'!$AG32=""),AND($I$10="有Issue",'01_架构总表'!$AG32&lt;&gt;"")),OR($L$10="全部",AND($L$10="有ASP",'01_架构总表'!$AC32&lt;&gt;""),AND($L$10="需RFQ/无可比价",'01_架构总表'!$AC32=""))),'01_架构总表'!$A32,"")</x:f>
      </x:c>
    </x:row>
    <x:row r="57">
      <x:c r="A57" s="77" t="str">
        <x:f>IF($O$56="","",$O$56)</x:f>
      </x:c>
      <x:c r="B57" s="77" t="str">
        <x:f>IF($A57="","",INDEX('01_架构总表'!$B$5:$B$41,MATCH($A57,'01_架构总表'!$A$5:$A$41,0)))</x:f>
      </x:c>
      <x:c r="C57" s="77" t="str">
        <x:f>IF($A57="","",INDEX('01_架构总表'!$C$5:$C$41,MATCH($A57,'01_架构总表'!$A$5:$A$41,0)))</x:f>
      </x:c>
      <x:c r="D57" s="77" t="str">
        <x:f>IF($A57="","",INDEX('01_架构总表'!$F$5:$F$41,MATCH($A57,'01_架构总表'!$A$5:$A$41,0)))</x:f>
      </x:c>
      <x:c r="E57" s="77" t="str">
        <x:f>IF($A57="","",INDEX('01_架构总表'!$G$5:$G$41,MATCH($A57,'01_架构总表'!$A$5:$A$41,0)))</x:f>
      </x:c>
      <x:c r="F57" s="77" t="str">
        <x:f>IF($A57="","",INDEX('01_架构总表'!$K$5:$K$41,MATCH($A57,'01_架构总表'!$A$5:$A$41,0)))</x:f>
      </x:c>
      <x:c r="G57" s="77" t="str">
        <x:f>IF($A57="","",INDEX('01_架构总表'!$O$5:$O$41,MATCH($A57,'01_架构总表'!$A$5:$A$41,0)))</x:f>
      </x:c>
      <x:c r="H57" s="77" t="str">
        <x:f>IF($A57="","",INDEX('01_架构总表'!$T$5:$T$41,MATCH($A57,'01_架构总表'!$A$5:$A$41,0)))</x:f>
      </x:c>
      <x:c r="I57" s="77" t="str">
        <x:f>IF($A57="","",INDEX('01_架构总表'!$V$5:$V$41,MATCH($A57,'01_架构总表'!$A$5:$A$41,0)))</x:f>
      </x:c>
      <x:c r="J57" s="77" t="str">
        <x:f>IF($A57="","",INDEX('01_架构总表'!$S$5:$S$41,MATCH($A57,'01_架构总表'!$A$5:$A$41,0)))</x:f>
      </x:c>
      <x:c r="K57" s="27" t="str">
        <x:f>IF($A57="","",INDEX('01_架构总表'!$AC$5:$AC$41,MATCH($A57,'01_架构总表'!$A$5:$A$41,0)))</x:f>
      </x:c>
      <x:c r="L57" s="77" t="str">
        <x:f>IF($A57="","",INDEX('01_架构总表'!$AB$5:$AB$41,MATCH($A57,'01_架构总表'!$A$5:$A$41,0)))</x:f>
      </x:c>
      <x:c r="M57" s="77" t="str">
        <x:f>IF($A57="","",INDEX('01_架构总表'!$AG$5:$AG$41,MATCH($A57,'01_架构总表'!$A$5:$A$41,0)))</x:f>
      </x:c>
      <x:c r="N57" s="77" t="str">
        <x:f>IF($A57="","",INDEX('01_架构总表'!$AF$5:$AF$41,MATCH($A57,'01_架构总表'!$A$5:$A$41,0)))</x:f>
      </x:c>
      <x:c r="O57" s="78" t="str">
        <x:f>IF(AND(OR($C$4="全部",'01_架构总表'!$B33=$C$4),OR($F$4="全部",'01_架构总表'!$G33=$F$4),OR($I$4="全部",'01_架构总表'!$K33=$I$4),OR($L$4="全部",'01_架构总表'!$O33=$L$4),OR($C$7="全部",'01_架构总表'!$F33=$C$7),OR($F$7="全部",'01_架构总表'!$T33=$F$7),OR($I$7="全部",'01_架构总表'!$V33=$I$7),OR($L$7="全部",'01_架构总表'!$S33=$L$7),OR($C$10="全部",'01_架构总表'!$AB33=$C$10),OR($F$10="全部",'01_架构总表'!$E33=$F$10),OR($I$10="全部",AND($I$10="无Issue",'01_架构总表'!$AG33=""),AND($I$10="有Issue",'01_架构总表'!$AG33&lt;&gt;"")),OR($L$10="全部",AND($L$10="有ASP",'01_架构总表'!$AC33&lt;&gt;""),AND($L$10="需RFQ/无可比价",'01_架构总表'!$AC33=""))),'01_架构总表'!$A33,"")</x:f>
      </x:c>
    </x:row>
    <x:row r="58">
      <x:c r="A58" s="77" t="str">
        <x:f>IF($O$57="","",$O$57)</x:f>
      </x:c>
      <x:c r="B58" s="77" t="str">
        <x:f>IF($A58="","",INDEX('01_架构总表'!$B$5:$B$41,MATCH($A58,'01_架构总表'!$A$5:$A$41,0)))</x:f>
      </x:c>
      <x:c r="C58" s="77" t="str">
        <x:f>IF($A58="","",INDEX('01_架构总表'!$C$5:$C$41,MATCH($A58,'01_架构总表'!$A$5:$A$41,0)))</x:f>
      </x:c>
      <x:c r="D58" s="77" t="str">
        <x:f>IF($A58="","",INDEX('01_架构总表'!$F$5:$F$41,MATCH($A58,'01_架构总表'!$A$5:$A$41,0)))</x:f>
      </x:c>
      <x:c r="E58" s="77" t="str">
        <x:f>IF($A58="","",INDEX('01_架构总表'!$G$5:$G$41,MATCH($A58,'01_架构总表'!$A$5:$A$41,0)))</x:f>
      </x:c>
      <x:c r="F58" s="77" t="str">
        <x:f>IF($A58="","",INDEX('01_架构总表'!$K$5:$K$41,MATCH($A58,'01_架构总表'!$A$5:$A$41,0)))</x:f>
      </x:c>
      <x:c r="G58" s="77" t="str">
        <x:f>IF($A58="","",INDEX('01_架构总表'!$O$5:$O$41,MATCH($A58,'01_架构总表'!$A$5:$A$41,0)))</x:f>
      </x:c>
      <x:c r="H58" s="77" t="str">
        <x:f>IF($A58="","",INDEX('01_架构总表'!$T$5:$T$41,MATCH($A58,'01_架构总表'!$A$5:$A$41,0)))</x:f>
      </x:c>
      <x:c r="I58" s="77" t="str">
        <x:f>IF($A58="","",INDEX('01_架构总表'!$V$5:$V$41,MATCH($A58,'01_架构总表'!$A$5:$A$41,0)))</x:f>
      </x:c>
      <x:c r="J58" s="77" t="str">
        <x:f>IF($A58="","",INDEX('01_架构总表'!$S$5:$S$41,MATCH($A58,'01_架构总表'!$A$5:$A$41,0)))</x:f>
      </x:c>
      <x:c r="K58" s="27" t="str">
        <x:f>IF($A58="","",INDEX('01_架构总表'!$AC$5:$AC$41,MATCH($A58,'01_架构总表'!$A$5:$A$41,0)))</x:f>
      </x:c>
      <x:c r="L58" s="77" t="str">
        <x:f>IF($A58="","",INDEX('01_架构总表'!$AB$5:$AB$41,MATCH($A58,'01_架构总表'!$A$5:$A$41,0)))</x:f>
      </x:c>
      <x:c r="M58" s="77" t="str">
        <x:f>IF($A58="","",INDEX('01_架构总表'!$AG$5:$AG$41,MATCH($A58,'01_架构总表'!$A$5:$A$41,0)))</x:f>
      </x:c>
      <x:c r="N58" s="77" t="str">
        <x:f>IF($A58="","",INDEX('01_架构总表'!$AF$5:$AF$41,MATCH($A58,'01_架构总表'!$A$5:$A$41,0)))</x:f>
      </x:c>
      <x:c r="O58" s="78" t="str">
        <x:f>IF(AND(OR($C$4="全部",'01_架构总表'!$B34=$C$4),OR($F$4="全部",'01_架构总表'!$G34=$F$4),OR($I$4="全部",'01_架构总表'!$K34=$I$4),OR($L$4="全部",'01_架构总表'!$O34=$L$4),OR($C$7="全部",'01_架构总表'!$F34=$C$7),OR($F$7="全部",'01_架构总表'!$T34=$F$7),OR($I$7="全部",'01_架构总表'!$V34=$I$7),OR($L$7="全部",'01_架构总表'!$S34=$L$7),OR($C$10="全部",'01_架构总表'!$AB34=$C$10),OR($F$10="全部",'01_架构总表'!$E34=$F$10),OR($I$10="全部",AND($I$10="无Issue",'01_架构总表'!$AG34=""),AND($I$10="有Issue",'01_架构总表'!$AG34&lt;&gt;"")),OR($L$10="全部",AND($L$10="有ASP",'01_架构总表'!$AC34&lt;&gt;""),AND($L$10="需RFQ/无可比价",'01_架构总表'!$AC34=""))),'01_架构总表'!$A34,"")</x:f>
      </x:c>
    </x:row>
    <x:row r="59">
      <x:c r="A59" s="77" t="str">
        <x:f>IF($O$58="","",$O$58)</x:f>
      </x:c>
      <x:c r="B59" s="77" t="str">
        <x:f>IF($A59="","",INDEX('01_架构总表'!$B$5:$B$41,MATCH($A59,'01_架构总表'!$A$5:$A$41,0)))</x:f>
      </x:c>
      <x:c r="C59" s="77" t="str">
        <x:f>IF($A59="","",INDEX('01_架构总表'!$C$5:$C$41,MATCH($A59,'01_架构总表'!$A$5:$A$41,0)))</x:f>
      </x:c>
      <x:c r="D59" s="77" t="str">
        <x:f>IF($A59="","",INDEX('01_架构总表'!$F$5:$F$41,MATCH($A59,'01_架构总表'!$A$5:$A$41,0)))</x:f>
      </x:c>
      <x:c r="E59" s="77" t="str">
        <x:f>IF($A59="","",INDEX('01_架构总表'!$G$5:$G$41,MATCH($A59,'01_架构总表'!$A$5:$A$41,0)))</x:f>
      </x:c>
      <x:c r="F59" s="77" t="str">
        <x:f>IF($A59="","",INDEX('01_架构总表'!$K$5:$K$41,MATCH($A59,'01_架构总表'!$A$5:$A$41,0)))</x:f>
      </x:c>
      <x:c r="G59" s="77" t="str">
        <x:f>IF($A59="","",INDEX('01_架构总表'!$O$5:$O$41,MATCH($A59,'01_架构总表'!$A$5:$A$41,0)))</x:f>
      </x:c>
      <x:c r="H59" s="77" t="str">
        <x:f>IF($A59="","",INDEX('01_架构总表'!$T$5:$T$41,MATCH($A59,'01_架构总表'!$A$5:$A$41,0)))</x:f>
      </x:c>
      <x:c r="I59" s="77" t="str">
        <x:f>IF($A59="","",INDEX('01_架构总表'!$V$5:$V$41,MATCH($A59,'01_架构总表'!$A$5:$A$41,0)))</x:f>
      </x:c>
      <x:c r="J59" s="77" t="str">
        <x:f>IF($A59="","",INDEX('01_架构总表'!$S$5:$S$41,MATCH($A59,'01_架构总表'!$A$5:$A$41,0)))</x:f>
      </x:c>
      <x:c r="K59" s="27" t="str">
        <x:f>IF($A59="","",INDEX('01_架构总表'!$AC$5:$AC$41,MATCH($A59,'01_架构总表'!$A$5:$A$41,0)))</x:f>
      </x:c>
      <x:c r="L59" s="77" t="str">
        <x:f>IF($A59="","",INDEX('01_架构总表'!$AB$5:$AB$41,MATCH($A59,'01_架构总表'!$A$5:$A$41,0)))</x:f>
      </x:c>
      <x:c r="M59" s="77" t="str">
        <x:f>IF($A59="","",INDEX('01_架构总表'!$AG$5:$AG$41,MATCH($A59,'01_架构总表'!$A$5:$A$41,0)))</x:f>
      </x:c>
      <x:c r="N59" s="77" t="str">
        <x:f>IF($A59="","",INDEX('01_架构总表'!$AF$5:$AF$41,MATCH($A59,'01_架构总表'!$A$5:$A$41,0)))</x:f>
      </x:c>
      <x:c r="O59" s="78" t="str">
        <x:f>IF(AND(OR($C$4="全部",'01_架构总表'!$B35=$C$4),OR($F$4="全部",'01_架构总表'!$G35=$F$4),OR($I$4="全部",'01_架构总表'!$K35=$I$4),OR($L$4="全部",'01_架构总表'!$O35=$L$4),OR($C$7="全部",'01_架构总表'!$F35=$C$7),OR($F$7="全部",'01_架构总表'!$T35=$F$7),OR($I$7="全部",'01_架构总表'!$V35=$I$7),OR($L$7="全部",'01_架构总表'!$S35=$L$7),OR($C$10="全部",'01_架构总表'!$AB35=$C$10),OR($F$10="全部",'01_架构总表'!$E35=$F$10),OR($I$10="全部",AND($I$10="无Issue",'01_架构总表'!$AG35=""),AND($I$10="有Issue",'01_架构总表'!$AG35&lt;&gt;"")),OR($L$10="全部",AND($L$10="有ASP",'01_架构总表'!$AC35&lt;&gt;""),AND($L$10="需RFQ/无可比价",'01_架构总表'!$AC35=""))),'01_架构总表'!$A35,"")</x:f>
      </x:c>
    </x:row>
    <x:row r="60">
      <x:c r="A60" s="77" t="str">
        <x:f>IF($O$59="","",$O$59)</x:f>
      </x:c>
      <x:c r="B60" s="77" t="str">
        <x:f>IF($A60="","",INDEX('01_架构总表'!$B$5:$B$41,MATCH($A60,'01_架构总表'!$A$5:$A$41,0)))</x:f>
      </x:c>
      <x:c r="C60" s="77" t="str">
        <x:f>IF($A60="","",INDEX('01_架构总表'!$C$5:$C$41,MATCH($A60,'01_架构总表'!$A$5:$A$41,0)))</x:f>
      </x:c>
      <x:c r="D60" s="77" t="str">
        <x:f>IF($A60="","",INDEX('01_架构总表'!$F$5:$F$41,MATCH($A60,'01_架构总表'!$A$5:$A$41,0)))</x:f>
      </x:c>
      <x:c r="E60" s="77" t="str">
        <x:f>IF($A60="","",INDEX('01_架构总表'!$G$5:$G$41,MATCH($A60,'01_架构总表'!$A$5:$A$41,0)))</x:f>
      </x:c>
      <x:c r="F60" s="77" t="str">
        <x:f>IF($A60="","",INDEX('01_架构总表'!$K$5:$K$41,MATCH($A60,'01_架构总表'!$A$5:$A$41,0)))</x:f>
      </x:c>
      <x:c r="G60" s="77" t="str">
        <x:f>IF($A60="","",INDEX('01_架构总表'!$O$5:$O$41,MATCH($A60,'01_架构总表'!$A$5:$A$41,0)))</x:f>
      </x:c>
      <x:c r="H60" s="77" t="str">
        <x:f>IF($A60="","",INDEX('01_架构总表'!$T$5:$T$41,MATCH($A60,'01_架构总表'!$A$5:$A$41,0)))</x:f>
      </x:c>
      <x:c r="I60" s="77" t="str">
        <x:f>IF($A60="","",INDEX('01_架构总表'!$V$5:$V$41,MATCH($A60,'01_架构总表'!$A$5:$A$41,0)))</x:f>
      </x:c>
      <x:c r="J60" s="77" t="str">
        <x:f>IF($A60="","",INDEX('01_架构总表'!$S$5:$S$41,MATCH($A60,'01_架构总表'!$A$5:$A$41,0)))</x:f>
      </x:c>
      <x:c r="K60" s="27" t="str">
        <x:f>IF($A60="","",INDEX('01_架构总表'!$AC$5:$AC$41,MATCH($A60,'01_架构总表'!$A$5:$A$41,0)))</x:f>
      </x:c>
      <x:c r="L60" s="77" t="str">
        <x:f>IF($A60="","",INDEX('01_架构总表'!$AB$5:$AB$41,MATCH($A60,'01_架构总表'!$A$5:$A$41,0)))</x:f>
      </x:c>
      <x:c r="M60" s="77" t="str">
        <x:f>IF($A60="","",INDEX('01_架构总表'!$AG$5:$AG$41,MATCH($A60,'01_架构总表'!$A$5:$A$41,0)))</x:f>
      </x:c>
      <x:c r="N60" s="77" t="str">
        <x:f>IF($A60="","",INDEX('01_架构总表'!$AF$5:$AF$41,MATCH($A60,'01_架构总表'!$A$5:$A$41,0)))</x:f>
      </x:c>
      <x:c r="O60" s="78" t="str">
        <x:f>IF(AND(OR($C$4="全部",'01_架构总表'!$B36=$C$4),OR($F$4="全部",'01_架构总表'!$G36=$F$4),OR($I$4="全部",'01_架构总表'!$K36=$I$4),OR($L$4="全部",'01_架构总表'!$O36=$L$4),OR($C$7="全部",'01_架构总表'!$F36=$C$7),OR($F$7="全部",'01_架构总表'!$T36=$F$7),OR($I$7="全部",'01_架构总表'!$V36=$I$7),OR($L$7="全部",'01_架构总表'!$S36=$L$7),OR($C$10="全部",'01_架构总表'!$AB36=$C$10),OR($F$10="全部",'01_架构总表'!$E36=$F$10),OR($I$10="全部",AND($I$10="无Issue",'01_架构总表'!$AG36=""),AND($I$10="有Issue",'01_架构总表'!$AG36&lt;&gt;"")),OR($L$10="全部",AND($L$10="有ASP",'01_架构总表'!$AC36&lt;&gt;""),AND($L$10="需RFQ/无可比价",'01_架构总表'!$AC36=""))),'01_架构总表'!$A36,"")</x:f>
      </x:c>
    </x:row>
    <x:row r="61">
      <x:c r="A61" s="77" t="str">
        <x:f>IF($O$60="","",$O$60)</x:f>
      </x:c>
      <x:c r="B61" s="77" t="str">
        <x:f>IF($A61="","",INDEX('01_架构总表'!$B$5:$B$41,MATCH($A61,'01_架构总表'!$A$5:$A$41,0)))</x:f>
      </x:c>
      <x:c r="C61" s="77" t="str">
        <x:f>IF($A61="","",INDEX('01_架构总表'!$C$5:$C$41,MATCH($A61,'01_架构总表'!$A$5:$A$41,0)))</x:f>
      </x:c>
      <x:c r="D61" s="77" t="str">
        <x:f>IF($A61="","",INDEX('01_架构总表'!$F$5:$F$41,MATCH($A61,'01_架构总表'!$A$5:$A$41,0)))</x:f>
      </x:c>
      <x:c r="E61" s="77" t="str">
        <x:f>IF($A61="","",INDEX('01_架构总表'!$G$5:$G$41,MATCH($A61,'01_架构总表'!$A$5:$A$41,0)))</x:f>
      </x:c>
      <x:c r="F61" s="77" t="str">
        <x:f>IF($A61="","",INDEX('01_架构总表'!$K$5:$K$41,MATCH($A61,'01_架构总表'!$A$5:$A$41,0)))</x:f>
      </x:c>
      <x:c r="G61" s="77" t="str">
        <x:f>IF($A61="","",INDEX('01_架构总表'!$O$5:$O$41,MATCH($A61,'01_架构总表'!$A$5:$A$41,0)))</x:f>
      </x:c>
      <x:c r="H61" s="77" t="str">
        <x:f>IF($A61="","",INDEX('01_架构总表'!$T$5:$T$41,MATCH($A61,'01_架构总表'!$A$5:$A$41,0)))</x:f>
      </x:c>
      <x:c r="I61" s="77" t="str">
        <x:f>IF($A61="","",INDEX('01_架构总表'!$V$5:$V$41,MATCH($A61,'01_架构总表'!$A$5:$A$41,0)))</x:f>
      </x:c>
      <x:c r="J61" s="77" t="str">
        <x:f>IF($A61="","",INDEX('01_架构总表'!$S$5:$S$41,MATCH($A61,'01_架构总表'!$A$5:$A$41,0)))</x:f>
      </x:c>
      <x:c r="K61" s="27" t="str">
        <x:f>IF($A61="","",INDEX('01_架构总表'!$AC$5:$AC$41,MATCH($A61,'01_架构总表'!$A$5:$A$41,0)))</x:f>
      </x:c>
      <x:c r="L61" s="77" t="str">
        <x:f>IF($A61="","",INDEX('01_架构总表'!$AB$5:$AB$41,MATCH($A61,'01_架构总表'!$A$5:$A$41,0)))</x:f>
      </x:c>
      <x:c r="M61" s="77" t="str">
        <x:f>IF($A61="","",INDEX('01_架构总表'!$AG$5:$AG$41,MATCH($A61,'01_架构总表'!$A$5:$A$41,0)))</x:f>
      </x:c>
      <x:c r="N61" s="77" t="str">
        <x:f>IF($A61="","",INDEX('01_架构总表'!$AF$5:$AF$41,MATCH($A61,'01_架构总表'!$A$5:$A$41,0)))</x:f>
      </x:c>
      <x:c r="O61" s="78" t="str">
        <x:f>IF(AND(OR($C$4="全部",'01_架构总表'!$B37=$C$4),OR($F$4="全部",'01_架构总表'!$G37=$F$4),OR($I$4="全部",'01_架构总表'!$K37=$I$4),OR($L$4="全部",'01_架构总表'!$O37=$L$4),OR($C$7="全部",'01_架构总表'!$F37=$C$7),OR($F$7="全部",'01_架构总表'!$T37=$F$7),OR($I$7="全部",'01_架构总表'!$V37=$I$7),OR($L$7="全部",'01_架构总表'!$S37=$L$7),OR($C$10="全部",'01_架构总表'!$AB37=$C$10),OR($F$10="全部",'01_架构总表'!$E37=$F$10),OR($I$10="全部",AND($I$10="无Issue",'01_架构总表'!$AG37=""),AND($I$10="有Issue",'01_架构总表'!$AG37&lt;&gt;"")),OR($L$10="全部",AND($L$10="有ASP",'01_架构总表'!$AC37&lt;&gt;""),AND($L$10="需RFQ/无可比价",'01_架构总表'!$AC37=""))),'01_架构总表'!$A37,"")</x:f>
      </x:c>
    </x:row>
    <x:row r="62">
      <x:c r="A62" s="77" t="str">
        <x:f>IF($O$61="","",$O$61)</x:f>
      </x:c>
      <x:c r="B62" s="77" t="str">
        <x:f>IF($A62="","",INDEX('01_架构总表'!$B$5:$B$41,MATCH($A62,'01_架构总表'!$A$5:$A$41,0)))</x:f>
      </x:c>
      <x:c r="C62" s="77" t="str">
        <x:f>IF($A62="","",INDEX('01_架构总表'!$C$5:$C$41,MATCH($A62,'01_架构总表'!$A$5:$A$41,0)))</x:f>
      </x:c>
      <x:c r="D62" s="77" t="str">
        <x:f>IF($A62="","",INDEX('01_架构总表'!$F$5:$F$41,MATCH($A62,'01_架构总表'!$A$5:$A$41,0)))</x:f>
      </x:c>
      <x:c r="E62" s="77" t="str">
        <x:f>IF($A62="","",INDEX('01_架构总表'!$G$5:$G$41,MATCH($A62,'01_架构总表'!$A$5:$A$41,0)))</x:f>
      </x:c>
      <x:c r="F62" s="77" t="str">
        <x:f>IF($A62="","",INDEX('01_架构总表'!$K$5:$K$41,MATCH($A62,'01_架构总表'!$A$5:$A$41,0)))</x:f>
      </x:c>
      <x:c r="G62" s="77" t="str">
        <x:f>IF($A62="","",INDEX('01_架构总表'!$O$5:$O$41,MATCH($A62,'01_架构总表'!$A$5:$A$41,0)))</x:f>
      </x:c>
      <x:c r="H62" s="77" t="str">
        <x:f>IF($A62="","",INDEX('01_架构总表'!$T$5:$T$41,MATCH($A62,'01_架构总表'!$A$5:$A$41,0)))</x:f>
      </x:c>
      <x:c r="I62" s="77" t="str">
        <x:f>IF($A62="","",INDEX('01_架构总表'!$V$5:$V$41,MATCH($A62,'01_架构总表'!$A$5:$A$41,0)))</x:f>
      </x:c>
      <x:c r="J62" s="77" t="str">
        <x:f>IF($A62="","",INDEX('01_架构总表'!$S$5:$S$41,MATCH($A62,'01_架构总表'!$A$5:$A$41,0)))</x:f>
      </x:c>
      <x:c r="K62" s="27" t="str">
        <x:f>IF($A62="","",INDEX('01_架构总表'!$AC$5:$AC$41,MATCH($A62,'01_架构总表'!$A$5:$A$41,0)))</x:f>
      </x:c>
      <x:c r="L62" s="77" t="str">
        <x:f>IF($A62="","",INDEX('01_架构总表'!$AB$5:$AB$41,MATCH($A62,'01_架构总表'!$A$5:$A$41,0)))</x:f>
      </x:c>
      <x:c r="M62" s="77" t="str">
        <x:f>IF($A62="","",INDEX('01_架构总表'!$AG$5:$AG$41,MATCH($A62,'01_架构总表'!$A$5:$A$41,0)))</x:f>
      </x:c>
      <x:c r="N62" s="77" t="str">
        <x:f>IF($A62="","",INDEX('01_架构总表'!$AF$5:$AF$41,MATCH($A62,'01_架构总表'!$A$5:$A$41,0)))</x:f>
      </x:c>
      <x:c r="O62" s="78" t="str">
        <x:f>IF(AND(OR($C$4="全部",'01_架构总表'!$B38=$C$4),OR($F$4="全部",'01_架构总表'!$G38=$F$4),OR($I$4="全部",'01_架构总表'!$K38=$I$4),OR($L$4="全部",'01_架构总表'!$O38=$L$4),OR($C$7="全部",'01_架构总表'!$F38=$C$7),OR($F$7="全部",'01_架构总表'!$T38=$F$7),OR($I$7="全部",'01_架构总表'!$V38=$I$7),OR($L$7="全部",'01_架构总表'!$S38=$L$7),OR($C$10="全部",'01_架构总表'!$AB38=$C$10),OR($F$10="全部",'01_架构总表'!$E38=$F$10),OR($I$10="全部",AND($I$10="无Issue",'01_架构总表'!$AG38=""),AND($I$10="有Issue",'01_架构总表'!$AG38&lt;&gt;"")),OR($L$10="全部",AND($L$10="有ASP",'01_架构总表'!$AC38&lt;&gt;""),AND($L$10="需RFQ/无可比价",'01_架构总表'!$AC38=""))),'01_架构总表'!$A38,"")</x:f>
      </x:c>
    </x:row>
    <x:row r="63">
      <x:c r="A63" s="77" t="str">
        <x:f>IF($O$62="","",$O$62)</x:f>
      </x:c>
      <x:c r="B63" s="77" t="str">
        <x:f>IF($A63="","",INDEX('01_架构总表'!$B$5:$B$41,MATCH($A63,'01_架构总表'!$A$5:$A$41,0)))</x:f>
      </x:c>
      <x:c r="C63" s="77" t="str">
        <x:f>IF($A63="","",INDEX('01_架构总表'!$C$5:$C$41,MATCH($A63,'01_架构总表'!$A$5:$A$41,0)))</x:f>
      </x:c>
      <x:c r="D63" s="77" t="str">
        <x:f>IF($A63="","",INDEX('01_架构总表'!$F$5:$F$41,MATCH($A63,'01_架构总表'!$A$5:$A$41,0)))</x:f>
      </x:c>
      <x:c r="E63" s="77" t="str">
        <x:f>IF($A63="","",INDEX('01_架构总表'!$G$5:$G$41,MATCH($A63,'01_架构总表'!$A$5:$A$41,0)))</x:f>
      </x:c>
      <x:c r="F63" s="77" t="str">
        <x:f>IF($A63="","",INDEX('01_架构总表'!$K$5:$K$41,MATCH($A63,'01_架构总表'!$A$5:$A$41,0)))</x:f>
      </x:c>
      <x:c r="G63" s="77" t="str">
        <x:f>IF($A63="","",INDEX('01_架构总表'!$O$5:$O$41,MATCH($A63,'01_架构总表'!$A$5:$A$41,0)))</x:f>
      </x:c>
      <x:c r="H63" s="77" t="str">
        <x:f>IF($A63="","",INDEX('01_架构总表'!$T$5:$T$41,MATCH($A63,'01_架构总表'!$A$5:$A$41,0)))</x:f>
      </x:c>
      <x:c r="I63" s="77" t="str">
        <x:f>IF($A63="","",INDEX('01_架构总表'!$V$5:$V$41,MATCH($A63,'01_架构总表'!$A$5:$A$41,0)))</x:f>
      </x:c>
      <x:c r="J63" s="77" t="str">
        <x:f>IF($A63="","",INDEX('01_架构总表'!$S$5:$S$41,MATCH($A63,'01_架构总表'!$A$5:$A$41,0)))</x:f>
      </x:c>
      <x:c r="K63" s="27" t="str">
        <x:f>IF($A63="","",INDEX('01_架构总表'!$AC$5:$AC$41,MATCH($A63,'01_架构总表'!$A$5:$A$41,0)))</x:f>
      </x:c>
      <x:c r="L63" s="77" t="str">
        <x:f>IF($A63="","",INDEX('01_架构总表'!$AB$5:$AB$41,MATCH($A63,'01_架构总表'!$A$5:$A$41,0)))</x:f>
      </x:c>
      <x:c r="M63" s="77" t="str">
        <x:f>IF($A63="","",INDEX('01_架构总表'!$AG$5:$AG$41,MATCH($A63,'01_架构总表'!$A$5:$A$41,0)))</x:f>
      </x:c>
      <x:c r="N63" s="77" t="str">
        <x:f>IF($A63="","",INDEX('01_架构总表'!$AF$5:$AF$41,MATCH($A63,'01_架构总表'!$A$5:$A$41,0)))</x:f>
      </x:c>
      <x:c r="O63" s="78" t="str">
        <x:f>IF(AND(OR($C$4="全部",'01_架构总表'!$B39=$C$4),OR($F$4="全部",'01_架构总表'!$G39=$F$4),OR($I$4="全部",'01_架构总表'!$K39=$I$4),OR($L$4="全部",'01_架构总表'!$O39=$L$4),OR($C$7="全部",'01_架构总表'!$F39=$C$7),OR($F$7="全部",'01_架构总表'!$T39=$F$7),OR($I$7="全部",'01_架构总表'!$V39=$I$7),OR($L$7="全部",'01_架构总表'!$S39=$L$7),OR($C$10="全部",'01_架构总表'!$AB39=$C$10),OR($F$10="全部",'01_架构总表'!$E39=$F$10),OR($I$10="全部",AND($I$10="无Issue",'01_架构总表'!$AG39=""),AND($I$10="有Issue",'01_架构总表'!$AG39&lt;&gt;"")),OR($L$10="全部",AND($L$10="有ASP",'01_架构总表'!$AC39&lt;&gt;""),AND($L$10="需RFQ/无可比价",'01_架构总表'!$AC39=""))),'01_架构总表'!$A39,"")</x:f>
      </x:c>
    </x:row>
    <x:row r="64">
      <x:c r="A64" s="77" t="str">
        <x:f>IF($O$63="","",$O$63)</x:f>
      </x:c>
      <x:c r="B64" s="77" t="str">
        <x:f>IF($A64="","",INDEX('01_架构总表'!$B$5:$B$41,MATCH($A64,'01_架构总表'!$A$5:$A$41,0)))</x:f>
      </x:c>
      <x:c r="C64" s="77" t="str">
        <x:f>IF($A64="","",INDEX('01_架构总表'!$C$5:$C$41,MATCH($A64,'01_架构总表'!$A$5:$A$41,0)))</x:f>
      </x:c>
      <x:c r="D64" s="77" t="str">
        <x:f>IF($A64="","",INDEX('01_架构总表'!$F$5:$F$41,MATCH($A64,'01_架构总表'!$A$5:$A$41,0)))</x:f>
      </x:c>
      <x:c r="E64" s="77" t="str">
        <x:f>IF($A64="","",INDEX('01_架构总表'!$G$5:$G$41,MATCH($A64,'01_架构总表'!$A$5:$A$41,0)))</x:f>
      </x:c>
      <x:c r="F64" s="77" t="str">
        <x:f>IF($A64="","",INDEX('01_架构总表'!$K$5:$K$41,MATCH($A64,'01_架构总表'!$A$5:$A$41,0)))</x:f>
      </x:c>
      <x:c r="G64" s="77" t="str">
        <x:f>IF($A64="","",INDEX('01_架构总表'!$O$5:$O$41,MATCH($A64,'01_架构总表'!$A$5:$A$41,0)))</x:f>
      </x:c>
      <x:c r="H64" s="77" t="str">
        <x:f>IF($A64="","",INDEX('01_架构总表'!$T$5:$T$41,MATCH($A64,'01_架构总表'!$A$5:$A$41,0)))</x:f>
      </x:c>
      <x:c r="I64" s="77" t="str">
        <x:f>IF($A64="","",INDEX('01_架构总表'!$V$5:$V$41,MATCH($A64,'01_架构总表'!$A$5:$A$41,0)))</x:f>
      </x:c>
      <x:c r="J64" s="77" t="str">
        <x:f>IF($A64="","",INDEX('01_架构总表'!$S$5:$S$41,MATCH($A64,'01_架构总表'!$A$5:$A$41,0)))</x:f>
      </x:c>
      <x:c r="K64" s="27" t="str">
        <x:f>IF($A64="","",INDEX('01_架构总表'!$AC$5:$AC$41,MATCH($A64,'01_架构总表'!$A$5:$A$41,0)))</x:f>
      </x:c>
      <x:c r="L64" s="77" t="str">
        <x:f>IF($A64="","",INDEX('01_架构总表'!$AB$5:$AB$41,MATCH($A64,'01_架构总表'!$A$5:$A$41,0)))</x:f>
      </x:c>
      <x:c r="M64" s="77" t="str">
        <x:f>IF($A64="","",INDEX('01_架构总表'!$AG$5:$AG$41,MATCH($A64,'01_架构总表'!$A$5:$A$41,0)))</x:f>
      </x:c>
      <x:c r="N64" s="77" t="str">
        <x:f>IF($A64="","",INDEX('01_架构总表'!$AF$5:$AF$41,MATCH($A64,'01_架构总表'!$A$5:$A$41,0)))</x:f>
      </x:c>
      <x:c r="O64" s="78" t="str">
        <x:f>IF(AND(OR($C$4="全部",'01_架构总表'!$B40=$C$4),OR($F$4="全部",'01_架构总表'!$G40=$F$4),OR($I$4="全部",'01_架构总表'!$K40=$I$4),OR($L$4="全部",'01_架构总表'!$O40=$L$4),OR($C$7="全部",'01_架构总表'!$F40=$C$7),OR($F$7="全部",'01_架构总表'!$T40=$F$7),OR($I$7="全部",'01_架构总表'!$V40=$I$7),OR($L$7="全部",'01_架构总表'!$S40=$L$7),OR($C$10="全部",'01_架构总表'!$AB40=$C$10),OR($F$10="全部",'01_架构总表'!$E40=$F$10),OR($I$10="全部",AND($I$10="无Issue",'01_架构总表'!$AG40=""),AND($I$10="有Issue",'01_架构总表'!$AG40&lt;&gt;"")),OR($L$10="全部",AND($L$10="有ASP",'01_架构总表'!$AC40&lt;&gt;""),AND($L$10="需RFQ/无可比价",'01_架构总表'!$AC40=""))),'01_架构总表'!$A40,"")</x:f>
      </x:c>
    </x:row>
    <x:row r="65">
      <x:c r="A65" s="77" t="str">
        <x:f>IF($O$64="","",$O$64)</x:f>
      </x:c>
      <x:c r="B65" s="77" t="str">
        <x:f>IF($A65="","",INDEX('01_架构总表'!$B$5:$B$41,MATCH($A65,'01_架构总表'!$A$5:$A$41,0)))</x:f>
      </x:c>
      <x:c r="C65" s="77" t="str">
        <x:f>IF($A65="","",INDEX('01_架构总表'!$C$5:$C$41,MATCH($A65,'01_架构总表'!$A$5:$A$41,0)))</x:f>
      </x:c>
      <x:c r="D65" s="77" t="str">
        <x:f>IF($A65="","",INDEX('01_架构总表'!$F$5:$F$41,MATCH($A65,'01_架构总表'!$A$5:$A$41,0)))</x:f>
      </x:c>
      <x:c r="E65" s="77" t="str">
        <x:f>IF($A65="","",INDEX('01_架构总表'!$G$5:$G$41,MATCH($A65,'01_架构总表'!$A$5:$A$41,0)))</x:f>
      </x:c>
      <x:c r="F65" s="77" t="str">
        <x:f>IF($A65="","",INDEX('01_架构总表'!$K$5:$K$41,MATCH($A65,'01_架构总表'!$A$5:$A$41,0)))</x:f>
      </x:c>
      <x:c r="G65" s="77" t="str">
        <x:f>IF($A65="","",INDEX('01_架构总表'!$O$5:$O$41,MATCH($A65,'01_架构总表'!$A$5:$A$41,0)))</x:f>
      </x:c>
      <x:c r="H65" s="77" t="str">
        <x:f>IF($A65="","",INDEX('01_架构总表'!$T$5:$T$41,MATCH($A65,'01_架构总表'!$A$5:$A$41,0)))</x:f>
      </x:c>
      <x:c r="I65" s="77" t="str">
        <x:f>IF($A65="","",INDEX('01_架构总表'!$V$5:$V$41,MATCH($A65,'01_架构总表'!$A$5:$A$41,0)))</x:f>
      </x:c>
      <x:c r="J65" s="77" t="str">
        <x:f>IF($A65="","",INDEX('01_架构总表'!$S$5:$S$41,MATCH($A65,'01_架构总表'!$A$5:$A$41,0)))</x:f>
      </x:c>
      <x:c r="K65" s="27" t="str">
        <x:f>IF($A65="","",INDEX('01_架构总表'!$AC$5:$AC$41,MATCH($A65,'01_架构总表'!$A$5:$A$41,0)))</x:f>
      </x:c>
      <x:c r="L65" s="77" t="str">
        <x:f>IF($A65="","",INDEX('01_架构总表'!$AB$5:$AB$41,MATCH($A65,'01_架构总表'!$A$5:$A$41,0)))</x:f>
      </x:c>
      <x:c r="M65" s="77" t="str">
        <x:f>IF($A65="","",INDEX('01_架构总表'!$AG$5:$AG$41,MATCH($A65,'01_架构总表'!$A$5:$A$41,0)))</x:f>
      </x:c>
      <x:c r="N65" s="77" t="str">
        <x:f>IF($A65="","",INDEX('01_架构总表'!$AF$5:$AF$41,MATCH($A65,'01_架构总表'!$A$5:$A$41,0)))</x:f>
      </x:c>
      <x:c r="O65" s="78" t="str">
        <x:f>IF(AND(OR($C$4="全部",'01_架构总表'!$B41=$C$4),OR($F$4="全部",'01_架构总表'!$G41=$F$4),OR($I$4="全部",'01_架构总表'!$K41=$I$4),OR($L$4="全部",'01_架构总表'!$O41=$L$4),OR($C$7="全部",'01_架构总表'!$F41=$C$7),OR($F$7="全部",'01_架构总表'!$T41=$F$7),OR($I$7="全部",'01_架构总表'!$V41=$I$7),OR($L$7="全部",'01_架构总表'!$S41=$L$7),OR($C$10="全部",'01_架构总表'!$AB41=$C$10),OR($F$10="全部",'01_架构总表'!$E41=$F$10),OR($I$10="全部",AND($I$10="无Issue",'01_架构总表'!$AG41=""),AND($I$10="有Issue",'01_架构总表'!$AG41&lt;&gt;"")),OR($L$10="全部",AND($L$10="有ASP",'01_架构总表'!$AC41&lt;&gt;""),AND($L$10="需RFQ/无可比价",'01_架构总表'!$AC41=""))),'01_架构总表'!$A41,"")</x:f>
      </x:c>
    </x:row>
    <x:row r="66">
      <x:c r="A66" s="77" t="str">
        <x:f>IF($O$65="","",$O$65)</x:f>
      </x:c>
      <x:c r="B66" s="77" t="str">
        <x:f>IF($A66="","",INDEX('01_架构总表'!$B$5:$B$41,MATCH($A66,'01_架构总表'!$A$5:$A$41,0)))</x:f>
      </x:c>
      <x:c r="C66" s="77" t="str">
        <x:f>IF($A66="","",INDEX('01_架构总表'!$C$5:$C$41,MATCH($A66,'01_架构总表'!$A$5:$A$41,0)))</x:f>
      </x:c>
      <x:c r="D66" s="77" t="str">
        <x:f>IF($A66="","",INDEX('01_架构总表'!$F$5:$F$41,MATCH($A66,'01_架构总表'!$A$5:$A$41,0)))</x:f>
      </x:c>
      <x:c r="E66" s="77" t="str">
        <x:f>IF($A66="","",INDEX('01_架构总表'!$G$5:$G$41,MATCH($A66,'01_架构总表'!$A$5:$A$41,0)))</x:f>
      </x:c>
      <x:c r="F66" s="77" t="str">
        <x:f>IF($A66="","",INDEX('01_架构总表'!$K$5:$K$41,MATCH($A66,'01_架构总表'!$A$5:$A$41,0)))</x:f>
      </x:c>
      <x:c r="G66" s="77" t="str">
        <x:f>IF($A66="","",INDEX('01_架构总表'!$O$5:$O$41,MATCH($A66,'01_架构总表'!$A$5:$A$41,0)))</x:f>
      </x:c>
      <x:c r="H66" s="77" t="str">
        <x:f>IF($A66="","",INDEX('01_架构总表'!$T$5:$T$41,MATCH($A66,'01_架构总表'!$A$5:$A$41,0)))</x:f>
      </x:c>
      <x:c r="I66" s="77" t="str">
        <x:f>IF($A66="","",INDEX('01_架构总表'!$V$5:$V$41,MATCH($A66,'01_架构总表'!$A$5:$A$41,0)))</x:f>
      </x:c>
      <x:c r="J66" s="77" t="str">
        <x:f>IF($A66="","",INDEX('01_架构总表'!$S$5:$S$41,MATCH($A66,'01_架构总表'!$A$5:$A$41,0)))</x:f>
      </x:c>
      <x:c r="K66" s="27" t="str">
        <x:f>IF($A66="","",INDEX('01_架构总表'!$AC$5:$AC$41,MATCH($A66,'01_架构总表'!$A$5:$A$41,0)))</x:f>
      </x:c>
      <x:c r="L66" s="77" t="str">
        <x:f>IF($A66="","",INDEX('01_架构总表'!$AB$5:$AB$41,MATCH($A66,'01_架构总表'!$A$5:$A$41,0)))</x:f>
      </x:c>
      <x:c r="M66" s="77" t="str">
        <x:f>IF($A66="","",INDEX('01_架构总表'!$AG$5:$AG$41,MATCH($A66,'01_架构总表'!$A$5:$A$41,0)))</x:f>
      </x:c>
      <x:c r="N66" s="77" t="str">
        <x:f>IF($A66="","",INDEX('01_架构总表'!$AF$5:$AF$41,MATCH($A66,'01_架构总表'!$A$5:$A$41,0)))</x:f>
      </x:c>
    </x:row>
  </x:sheetData>
  <x:mergeCells>
    <x:mergeCell ref="A1:N1"/>
    <x:mergeCell ref="A2:N2"/>
    <x:mergeCell ref="A4:B4"/>
    <x:mergeCell ref="D4:E4"/>
    <x:mergeCell ref="G4:H4"/>
    <x:mergeCell ref="J4:K4"/>
    <x:mergeCell ref="A7:B7"/>
    <x:mergeCell ref="D7:E7"/>
    <x:mergeCell ref="G7:H7"/>
    <x:mergeCell ref="J7:K7"/>
    <x:mergeCell ref="A10:B10"/>
    <x:mergeCell ref="D10:E10"/>
    <x:mergeCell ref="G10:H10"/>
    <x:mergeCell ref="J10:K10"/>
    <x:mergeCell ref="A13:N13"/>
    <x:mergeCell ref="A14:B14"/>
    <x:mergeCell ref="C14:F14"/>
    <x:mergeCell ref="G14:H14"/>
    <x:mergeCell ref="I14:J14"/>
    <x:mergeCell ref="A16:B16"/>
    <x:mergeCell ref="C16:F16"/>
    <x:mergeCell ref="G16:H16"/>
    <x:mergeCell ref="I16:N16"/>
    <x:mergeCell ref="A17:B17"/>
    <x:mergeCell ref="C17:F17"/>
    <x:mergeCell ref="G17:H17"/>
    <x:mergeCell ref="I17:N17"/>
    <x:mergeCell ref="A18:B18"/>
    <x:mergeCell ref="C18:F18"/>
    <x:mergeCell ref="G18:H18"/>
    <x:mergeCell ref="I18:N18"/>
    <x:mergeCell ref="A19:B19"/>
    <x:mergeCell ref="C19:F19"/>
    <x:mergeCell ref="G19:H19"/>
    <x:mergeCell ref="I19:N19"/>
    <x:mergeCell ref="A20:B20"/>
    <x:mergeCell ref="C20:F20"/>
    <x:mergeCell ref="G20:H20"/>
    <x:mergeCell ref="I20:N20"/>
    <x:mergeCell ref="A21:B21"/>
    <x:mergeCell ref="C21:F21"/>
    <x:mergeCell ref="G21:H21"/>
    <x:mergeCell ref="I21:N21"/>
    <x:mergeCell ref="A22:B22"/>
    <x:mergeCell ref="C22:F22"/>
    <x:mergeCell ref="G22:H22"/>
    <x:mergeCell ref="I22:N22"/>
    <x:mergeCell ref="A24:N24"/>
    <x:mergeCell ref="A25:B25"/>
    <x:mergeCell ref="C25:H25"/>
    <x:mergeCell ref="I25:J25"/>
    <x:mergeCell ref="K25:N25"/>
    <x:mergeCell ref="A26:B26"/>
    <x:mergeCell ref="C26:H26"/>
    <x:mergeCell ref="I26:J26"/>
    <x:mergeCell ref="K26:N26"/>
    <x:mergeCell ref="A28:N28"/>
    <x:mergeCell ref="L14:N14"/>
  </x:mergeCells>
  <x:conditionalFormatting sqref="C22:F22">
    <x:cfRule type="notContainsBlanks" dxfId="1" priority="1"/>
  </x:conditionalFormatting>
  <x:dataValidations count="13">
    <x:dataValidation type="list" sqref="C4">
      <x:formula1>RateOptions</x:formula1>
    </x:dataValidation>
    <x:dataValidation type="list" sqref="F4">
      <x:formula1>HostLaneOptions</x:formula1>
    </x:dataValidation>
    <x:dataValidation type="list" sqref="I4">
      <x:formula1>OpticalLaneOptions</x:formula1>
    </x:dataValidation>
    <x:dataValidation type="list" sqref="L4">
      <x:formula1>PMDOptions</x:formula1>
    </x:dataValidation>
    <x:dataValidation type="list" sqref="C7">
      <x:formula1>FormFactorOptions</x:formula1>
    </x:dataValidation>
    <x:dataValidation type="list" sqref="F7">
      <x:formula1>LightSourceOptions</x:formula1>
    </x:dataValidation>
    <x:dataValidation type="list" sqref="I7">
      <x:formula1>ElectricalArchOptions</x:formula1>
    </x:dataValidation>
    <x:dataValidation type="list" sqref="L7">
      <x:formula1>ConnectorOptions</x:formula1>
    </x:dataValidation>
    <x:dataValidation type="list" sqref="C10">
      <x:formula1>MaturityOptions</x:formula1>
    </x:dataValidation>
    <x:dataValidation type="list" sqref="F10">
      <x:formula1>EvidenceOptions</x:formula1>
    </x:dataValidation>
    <x:dataValidation type="list" sqref="I10">
      <x:formula1>IssueOptions</x:formula1>
    </x:dataValidation>
    <x:dataValidation type="list" sqref="L10">
      <x:formula1>PriceStatusOptions</x:formula1>
    </x:dataValidation>
    <x:dataValidation type="list" sqref="C14">
      <x:formula1>VariantIDOptions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" hidden="0" customWidth="1"/>
    <x:col min="3" max="3" width="2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7.559999942779541" hidden="0" customWidth="1"/>
    <x:col min="9" max="9" width="14.4399995803833" hidden="0" customWidth="1"/>
    <x:col min="10" max="10" width="14.779999732971191" hidden="0" customWidth="1"/>
    <x:col min="11" max="11" width="20" hidden="0" customWidth="1"/>
    <x:col min="12" max="12" width="9.109999656677246" hidden="0" customWidth="1"/>
    <x:col min="13" max="13" width="16" hidden="0" customWidth="1"/>
    <x:col min="14" max="14" width="20" hidden="0" customWidth="1"/>
    <x:col min="15" max="15" width="20" hidden="0" customWidth="1"/>
    <x:col min="16" max="16" width="6.440000057220459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14.329999923706055" hidden="0" customWidth="1"/>
    <x:col min="27" max="27" width="16.889999389648438" hidden="0" customWidth="1"/>
    <x:col min="28" max="28" width="20" hidden="0" customWidth="1"/>
    <x:col min="29" max="29" width="8.890000343322754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8" hidden="0" customWidth="1"/>
  </x:cols>
  <x:sheetData>
    <x:row r="1" ht="21.600000381469727" hidden="0" customHeight="1">
      <x:c r="A1" s="4" t="str">
        <x:v>光模块架构总表</x:v>
      </x:c>
      <x:c r="B1" s="4" t="str">
        <x:v>光模块架构总表</x:v>
      </x:c>
      <x:c r="C1" s="4" t="str">
        <x:v>光模块架构总表</x:v>
      </x:c>
      <x:c r="D1" s="4" t="str">
        <x:v>光模块架构总表</x:v>
      </x:c>
      <x:c r="E1" s="4" t="str">
        <x:v>光模块架构总表</x:v>
      </x:c>
      <x:c r="F1" s="4" t="str">
        <x:v>光模块架构总表</x:v>
      </x:c>
      <x:c r="G1" s="4" t="str">
        <x:v>光模块架构总表</x:v>
      </x:c>
      <x:c r="H1" s="4" t="str">
        <x:v>光模块架构总表</x:v>
      </x:c>
      <x:c r="I1" s="4" t="str">
        <x:v>光模块架构总表</x:v>
      </x:c>
      <x:c r="J1" s="4" t="str">
        <x:v>光模块架构总表</x:v>
      </x:c>
      <x:c r="K1" s="4" t="str">
        <x:v>光模块架构总表</x:v>
      </x:c>
      <x:c r="L1" s="4" t="str">
        <x:v>光模块架构总表</x:v>
      </x:c>
      <x:c r="M1" s="4" t="str">
        <x:v>光模块架构总表</x:v>
      </x:c>
      <x:c r="N1" s="4" t="str">
        <x:v>光模块架构总表</x:v>
      </x:c>
      <x:c r="O1" s="4" t="str">
        <x:v>光模块架构总表</x:v>
      </x:c>
      <x:c r="P1" s="4" t="str">
        <x:v>光模块架构总表</x:v>
      </x:c>
      <x:c r="Q1" s="4" t="str">
        <x:v>光模块架构总表</x:v>
      </x:c>
      <x:c r="R1" s="4" t="str">
        <x:v>光模块架构总表</x:v>
      </x:c>
      <x:c r="S1" s="4" t="str">
        <x:v>光模块架构总表</x:v>
      </x:c>
      <x:c r="T1" s="4" t="str">
        <x:v>光模块架构总表</x:v>
      </x:c>
      <x:c r="U1" s="4" t="str">
        <x:v>光模块架构总表</x:v>
      </x:c>
      <x:c r="V1" s="4" t="str">
        <x:v>光模块架构总表</x:v>
      </x:c>
      <x:c r="W1" s="4" t="str">
        <x:v>光模块架构总表</x:v>
      </x:c>
      <x:c r="X1" s="4" t="str">
        <x:v>光模块架构总表</x:v>
      </x:c>
      <x:c r="Y1" s="4" t="str">
        <x:v>光模块架构总表</x:v>
      </x:c>
      <x:c r="Z1" s="4" t="str">
        <x:v>光模块架构总表</x:v>
      </x:c>
      <x:c r="AA1" s="4" t="str">
        <x:v>光模块架构总表</x:v>
      </x:c>
      <x:c r="AB1" s="4" t="str">
        <x:v>光模块架构总表</x:v>
      </x:c>
      <x:c r="AC1" s="4" t="str">
        <x:v>光模块架构总表</x:v>
      </x:c>
      <x:c r="AD1" s="4" t="str">
        <x:v>光模块架构总表</x:v>
      </x:c>
      <x:c r="AE1" s="4" t="str">
        <x:v>光模块架构总表</x:v>
      </x:c>
      <x:c r="AF1" s="4" t="str">
        <x:v>光模块架构总表</x:v>
      </x:c>
      <x:c r="AG1" s="4" t="str">
        <x:v>光模块架构总表</x:v>
      </x:c>
      <x:c r="AH1" s="4" t="str">
        <x:v>光模块架构总表</x:v>
      </x:c>
    </x:row>
    <x:row r="2" ht="15" hidden="0" customHeight="1">
      <x:c r="A2" s="7" t="str">
        <x:v>核心口径：主机侧与光侧通道分开记录；公开SKU、标准架构、行业预测和代表性分解分开标识</x:v>
      </x:c>
      <x:c r="B2" s="7" t="str">
        <x:v>核心口径：主机侧与光侧通道分开记录；公开SKU、标准架构、行业预测和代表性分解分开标识</x:v>
      </x:c>
      <x:c r="C2" s="7" t="str">
        <x:v>核心口径：主机侧与光侧通道分开记录；公开SKU、标准架构、行业预测和代表性分解分开标识</x:v>
      </x:c>
      <x:c r="D2" s="7" t="str">
        <x:v>核心口径：主机侧与光侧通道分开记录；公开SKU、标准架构、行业预测和代表性分解分开标识</x:v>
      </x:c>
      <x:c r="E2" s="7" t="str">
        <x:v>核心口径：主机侧与光侧通道分开记录；公开SKU、标准架构、行业预测和代表性分解分开标识</x:v>
      </x:c>
      <x:c r="F2" s="7" t="str">
        <x:v>核心口径：主机侧与光侧通道分开记录；公开SKU、标准架构、行业预测和代表性分解分开标识</x:v>
      </x:c>
      <x:c r="G2" s="7" t="str">
        <x:v>核心口径：主机侧与光侧通道分开记录；公开SKU、标准架构、行业预测和代表性分解分开标识</x:v>
      </x:c>
      <x:c r="H2" s="7" t="str">
        <x:v>核心口径：主机侧与光侧通道分开记录；公开SKU、标准架构、行业预测和代表性分解分开标识</x:v>
      </x:c>
      <x:c r="I2" s="7" t="str">
        <x:v>核心口径：主机侧与光侧通道分开记录；公开SKU、标准架构、行业预测和代表性分解分开标识</x:v>
      </x:c>
      <x:c r="J2" s="7" t="str">
        <x:v>核心口径：主机侧与光侧通道分开记录；公开SKU、标准架构、行业预测和代表性分解分开标识</x:v>
      </x:c>
      <x:c r="K2" s="7" t="str">
        <x:v>核心口径：主机侧与光侧通道分开记录；公开SKU、标准架构、行业预测和代表性分解分开标识</x:v>
      </x:c>
      <x:c r="L2" s="7" t="str">
        <x:v>核心口径：主机侧与光侧通道分开记录；公开SKU、标准架构、行业预测和代表性分解分开标识</x:v>
      </x:c>
      <x:c r="M2" s="7" t="str">
        <x:v>核心口径：主机侧与光侧通道分开记录；公开SKU、标准架构、行业预测和代表性分解分开标识</x:v>
      </x:c>
      <x:c r="N2" s="7" t="str">
        <x:v>核心口径：主机侧与光侧通道分开记录；公开SKU、标准架构、行业预测和代表性分解分开标识</x:v>
      </x:c>
      <x:c r="O2" s="7" t="str">
        <x:v>核心口径：主机侧与光侧通道分开记录；公开SKU、标准架构、行业预测和代表性分解分开标识</x:v>
      </x:c>
      <x:c r="P2" s="7" t="str">
        <x:v>核心口径：主机侧与光侧通道分开记录；公开SKU、标准架构、行业预测和代表性分解分开标识</x:v>
      </x:c>
      <x:c r="Q2" s="7" t="str">
        <x:v>核心口径：主机侧与光侧通道分开记录；公开SKU、标准架构、行业预测和代表性分解分开标识</x:v>
      </x:c>
      <x:c r="R2" s="7" t="str">
        <x:v>核心口径：主机侧与光侧通道分开记录；公开SKU、标准架构、行业预测和代表性分解分开标识</x:v>
      </x:c>
      <x:c r="S2" s="7" t="str">
        <x:v>核心口径：主机侧与光侧通道分开记录；公开SKU、标准架构、行业预测和代表性分解分开标识</x:v>
      </x:c>
      <x:c r="T2" s="7" t="str">
        <x:v>核心口径：主机侧与光侧通道分开记录；公开SKU、标准架构、行业预测和代表性分解分开标识</x:v>
      </x:c>
      <x:c r="U2" s="7" t="str">
        <x:v>核心口径：主机侧与光侧通道分开记录；公开SKU、标准架构、行业预测和代表性分解分开标识</x:v>
      </x:c>
      <x:c r="V2" s="7" t="str">
        <x:v>核心口径：主机侧与光侧通道分开记录；公开SKU、标准架构、行业预测和代表性分解分开标识</x:v>
      </x:c>
      <x:c r="W2" s="7" t="str">
        <x:v>核心口径：主机侧与光侧通道分开记录；公开SKU、标准架构、行业预测和代表性分解分开标识</x:v>
      </x:c>
      <x:c r="X2" s="7" t="str">
        <x:v>核心口径：主机侧与光侧通道分开记录；公开SKU、标准架构、行业预测和代表性分解分开标识</x:v>
      </x:c>
      <x:c r="Y2" s="7" t="str">
        <x:v>核心口径：主机侧与光侧通道分开记录；公开SKU、标准架构、行业预测和代表性分解分开标识</x:v>
      </x:c>
      <x:c r="Z2" s="7" t="str">
        <x:v>核心口径：主机侧与光侧通道分开记录；公开SKU、标准架构、行业预测和代表性分解分开标识</x:v>
      </x:c>
      <x:c r="AA2" s="7" t="str">
        <x:v>核心口径：主机侧与光侧通道分开记录；公开SKU、标准架构、行业预测和代表性分解分开标识</x:v>
      </x:c>
      <x:c r="AB2" s="7" t="str">
        <x:v>核心口径：主机侧与光侧通道分开记录；公开SKU、标准架构、行业预测和代表性分解分开标识</x:v>
      </x:c>
      <x:c r="AC2" s="7" t="str">
        <x:v>核心口径：主机侧与光侧通道分开记录；公开SKU、标准架构、行业预测和代表性分解分开标识</x:v>
      </x:c>
      <x:c r="AD2" s="7" t="str">
        <x:v>核心口径：主机侧与光侧通道分开记录；公开SKU、标准架构、行业预测和代表性分解分开标识</x:v>
      </x:c>
      <x:c r="AE2" s="7" t="str">
        <x:v>核心口径：主机侧与光侧通道分开记录；公开SKU、标准架构、行业预测和代表性分解分开标识</x:v>
      </x:c>
      <x:c r="AF2" s="7" t="str">
        <x:v>核心口径：主机侧与光侧通道分开记录；公开SKU、标准架构、行业预测和代表性分解分开标识</x:v>
      </x:c>
      <x:c r="AG2" s="7" t="str">
        <x:v>核心口径：主机侧与光侧通道分开记录；公开SKU、标准架构、行业预测和代表性分解分开标识</x:v>
      </x:c>
      <x:c r="AH2" s="7" t="str">
        <x:v>核心口径：主机侧与光侧通道分开记录；公开SKU、标准架构、行业预测和代表性分解分开标识</x:v>
      </x:c>
    </x:row>
    <x:row r="3" ht="15" hidden="0" customHeight="1">
      <x:c r="A3" s="21" t="str">
        <x:v>← 返回‘00_型号选择器’工作表</x:v>
      </x:c>
    </x:row>
    <x:row r="4" ht="15" hidden="0" customHeight="1">
      <x:c r="A4" s="13" t="str">
        <x:v>Variant_ID</x:v>
      </x:c>
      <x:c r="B4" s="13" t="str">
        <x:v>总速率</x:v>
      </x:c>
      <x:c r="C4" s="13" t="str">
        <x:v>产品/通用型号</x:v>
      </x:c>
      <x:c r="D4" s="13" t="str">
        <x:v>证据主体</x:v>
      </x:c>
      <x:c r="E4" s="13" t="str">
        <x:v>证据属性</x:v>
      </x:c>
      <x:c r="F4" s="13" t="str">
        <x:v>Form Factor</x:v>
      </x:c>
      <x:c r="G4" s="13" t="str">
        <x:v>主机侧通道</x:v>
      </x:c>
      <x:c r="H4" s="13" t="str">
        <x:v>Host Lanes</x:v>
      </x:c>
      <x:c r="I4" s="13" t="str">
        <x:v>Host Rate(Gbps/lane)</x:v>
      </x:c>
      <x:c r="J4" s="13" t="str">
        <x:v>主机侧编码</x:v>
      </x:c>
      <x:c r="K4" s="13" t="str">
        <x:v>光侧通道</x:v>
      </x:c>
      <x:c r="L4" s="13" t="str">
        <x:v>Optical Lanes</x:v>
      </x:c>
      <x:c r="M4" s="13" t="str">
        <x:v>Optical Rate(Gbps/lane)</x:v>
      </x:c>
      <x:c r="N4" s="13" t="str">
        <x:v>光侧组织</x:v>
      </x:c>
      <x:c r="O4" s="13" t="str">
        <x:v>PMD/Reach</x:v>
      </x:c>
      <x:c r="P4" s="13" t="str">
        <x:v>Reach(m)</x:v>
      </x:c>
      <x:c r="Q4" s="13" t="str">
        <x:v>Fiber</x:v>
      </x:c>
      <x:c r="R4" s="13" t="str">
        <x:v>Wavelength/WDM</x:v>
      </x:c>
      <x:c r="S4" s="13" t="str">
        <x:v>Connector</x:v>
      </x:c>
      <x:c r="T4" s="13" t="str">
        <x:v>光源/调制</x:v>
      </x:c>
      <x:c r="U4" s="13" t="str">
        <x:v>Detector</x:v>
      </x:c>
      <x:c r="V4" s="13" t="str">
        <x:v>电架构</x:v>
      </x:c>
      <x:c r="W4" s="13" t="str">
        <x:v>DSP/Gearbox</x:v>
      </x:c>
      <x:c r="X4" s="13" t="str">
        <x:v>MUX/DEMUX</x:v>
      </x:c>
      <x:c r="Y4" s="13" t="str">
        <x:v>激光器位置</x:v>
      </x:c>
      <x:c r="Z4" s="13" t="str">
        <x:v>Cooling</x:v>
      </x:c>
      <x:c r="AA4" s="13" t="str">
        <x:v>公开功耗(W，典型/最大)</x:v>
      </x:c>
      <x:c r="AB4" s="13" t="str">
        <x:v>成熟度</x:v>
      </x:c>
      <x:c r="AC4" s="13" t="str">
        <x:v>2026E ASP($)</x:v>
      </x:c>
      <x:c r="AD4" s="13" t="str">
        <x:v>价格适用性</x:v>
      </x:c>
      <x:c r="AE4" s="13" t="str">
        <x:v>价格置信度</x:v>
      </x:c>
      <x:c r="AF4" s="13" t="str">
        <x:v>Source_ID</x:v>
      </x:c>
      <x:c r="AG4" s="13" t="str">
        <x:v>Issue Flag</x:v>
      </x:c>
      <x:c r="AH4" s="13" t="str">
        <x:v>结构说明</x:v>
      </x:c>
    </x:row>
    <x:row r="5" ht="24" hidden="0" customHeight="1">
      <x:c r="A5" s="19" t="str">
        <x:v>400-QDD-LR4-8E4O-EML</x:v>
      </x:c>
      <x:c r="B5" s="19" t="str">
        <x:v>400G</x:v>
      </x:c>
      <x:c r="C5" s="19" t="str">
        <x:v>400G-LR4 QSFP56-DD</x:v>
      </x:c>
      <x:c r="D5" s="19" t="str">
        <x:v>InnoLight</x:v>
      </x:c>
      <x:c r="E5" s="19" t="str">
        <x:v>公开产品</x:v>
      </x:c>
      <x:c r="F5" s="19" t="str">
        <x:v>QSFP-DD</x:v>
      </x:c>
      <x:c r="G5" s="19" t="str">
        <x:v>8×50G</x:v>
      </x:c>
      <x:c r="H5" s="19" t="n">
        <x:v>8</x:v>
      </x:c>
      <x:c r="I5" s="19" t="n">
        <x:v>50</x:v>
      </x:c>
      <x:c r="J5" s="19" t="str">
        <x:v>PAM4</x:v>
      </x:c>
      <x:c r="K5" s="19" t="str">
        <x:v>4×100G</x:v>
      </x:c>
      <x:c r="L5" s="19" t="n">
        <x:v>4</x:v>
      </x:c>
      <x:c r="M5" s="19" t="n">
        <x:v>100</x:v>
      </x:c>
      <x:c r="N5" s="19" t="str">
        <x:v>4λ CWDM</x:v>
      </x:c>
      <x:c r="O5" s="19" t="str">
        <x:v>LR4/10km</x:v>
      </x:c>
      <x:c r="P5" s="19" t="n">
        <x:v>10000</x:v>
      </x:c>
      <x:c r="Q5" s="19" t="str">
        <x:v>SMF</x:v>
      </x:c>
      <x:c r="R5" s="19" t="str">
        <x:v>4λ CWDM</x:v>
      </x:c>
      <x:c r="S5" s="19" t="str">
        <x:v>LC</x:v>
      </x:c>
      <x:c r="T5" s="19" t="str">
        <x:v>EML</x:v>
      </x:c>
      <x:c r="U5" s="19" t="str">
        <x:v>InGaAs PIN</x:v>
      </x:c>
      <x:c r="V5" s="19" t="str">
        <x:v>Retimed</x:v>
      </x:c>
      <x:c r="W5" s="19" t="str">
        <x:v>含DSP/Gearbox</x:v>
      </x:c>
      <x:c r="X5" s="19" t="str">
        <x:v>需要</x:v>
      </x:c>
      <x:c r="Y5" s="19" t="str">
        <x:v>内部激光</x:v>
      </x:c>
      <x:c r="Z5" s="19" t="str">
        <x:v>非制冷/厂商未细披露</x:v>
      </x:c>
      <x:c r="AA5" s="19"/>
      <x:c r="AB5" s="19" t="str">
        <x:v>量产</x:v>
      </x:c>
      <x:c r="AC5" s="20" t="n">
        <x:v>460</x:v>
      </x:c>
      <x:c r="AD5" s="19" t="str">
        <x:v>LightCounting同类ASP</x:v>
      </x:c>
      <x:c r="AE5" s="19" t="str">
        <x:v>中</x:v>
      </x:c>
      <x:c r="AF5" s="19" t="str">
        <x:v>S01;S16</x:v>
      </x:c>
      <x:c r="AG5" s="19" t="str"/>
      <x:c r="AH5" s="19" t="str">
        <x:v>8条50G主机侧电通道汇聚为4条100G波长通道</x:v>
      </x:c>
    </x:row>
    <x:row r="6" ht="24" hidden="0" customHeight="1">
      <x:c r="A6" s="19" t="str">
        <x:v>400-QDD-FR4-8E4O-EML</x:v>
      </x:c>
      <x:c r="B6" s="19" t="str">
        <x:v>400G</x:v>
      </x:c>
      <x:c r="C6" s="19" t="str">
        <x:v>400G-FR4 QSFP56-DD</x:v>
      </x:c>
      <x:c r="D6" s="19" t="str">
        <x:v>InnoLight</x:v>
      </x:c>
      <x:c r="E6" s="19" t="str">
        <x:v>公开产品</x:v>
      </x:c>
      <x:c r="F6" s="19" t="str">
        <x:v>QSFP-DD</x:v>
      </x:c>
      <x:c r="G6" s="19" t="str">
        <x:v>8×50G</x:v>
      </x:c>
      <x:c r="H6" s="19" t="n">
        <x:v>8</x:v>
      </x:c>
      <x:c r="I6" s="19" t="n">
        <x:v>50</x:v>
      </x:c>
      <x:c r="J6" s="19" t="str">
        <x:v>PAM4</x:v>
      </x:c>
      <x:c r="K6" s="19" t="str">
        <x:v>4×100G</x:v>
      </x:c>
      <x:c r="L6" s="19" t="n">
        <x:v>4</x:v>
      </x:c>
      <x:c r="M6" s="19" t="n">
        <x:v>100</x:v>
      </x:c>
      <x:c r="N6" s="19" t="str">
        <x:v>4λ CWDM</x:v>
      </x:c>
      <x:c r="O6" s="19" t="str">
        <x:v>FR4/2km</x:v>
      </x:c>
      <x:c r="P6" s="19" t="n">
        <x:v>2000</x:v>
      </x:c>
      <x:c r="Q6" s="19" t="str">
        <x:v>SMF</x:v>
      </x:c>
      <x:c r="R6" s="19" t="str">
        <x:v>4λ CWDM</x:v>
      </x:c>
      <x:c r="S6" s="19" t="str">
        <x:v>LC</x:v>
      </x:c>
      <x:c r="T6" s="19" t="str">
        <x:v>EML</x:v>
      </x:c>
      <x:c r="U6" s="19" t="str">
        <x:v>InGaAs PIN</x:v>
      </x:c>
      <x:c r="V6" s="19" t="str">
        <x:v>Retimed</x:v>
      </x:c>
      <x:c r="W6" s="19" t="str">
        <x:v>含DSP/Gearbox</x:v>
      </x:c>
      <x:c r="X6" s="19" t="str">
        <x:v>需要</x:v>
      </x:c>
      <x:c r="Y6" s="19" t="str">
        <x:v>内部激光</x:v>
      </x:c>
      <x:c r="Z6" s="19" t="str">
        <x:v>非制冷/厂商未细披露</x:v>
      </x:c>
      <x:c r="AA6" s="19"/>
      <x:c r="AB6" s="19" t="str">
        <x:v>量产</x:v>
      </x:c>
      <x:c r="AC6" s="20" t="n">
        <x:v>210</x:v>
      </x:c>
      <x:c r="AD6" s="19" t="str">
        <x:v>LightCounting同类ASP</x:v>
      </x:c>
      <x:c r="AE6" s="19" t="str">
        <x:v>中</x:v>
      </x:c>
      <x:c r="AF6" s="19" t="str">
        <x:v>S01;S16</x:v>
      </x:c>
      <x:c r="AG6" s="19" t="str"/>
      <x:c r="AH6" s="19" t="str">
        <x:v>CWDM MUX/DEMUX与双工LC是FR4的关键差异</x:v>
      </x:c>
    </x:row>
    <x:row r="7" ht="15" hidden="0" customHeight="1">
      <x:c r="A7" s="19" t="str">
        <x:v>400-QDD-DR4-8E4O-EML</x:v>
      </x:c>
      <x:c r="B7" s="19" t="str">
        <x:v>400G</x:v>
      </x:c>
      <x:c r="C7" s="19" t="str">
        <x:v>400G-DR4 QSFP56-DD</x:v>
      </x:c>
      <x:c r="D7" s="19" t="str">
        <x:v>InnoLight</x:v>
      </x:c>
      <x:c r="E7" s="19" t="str">
        <x:v>公开产品</x:v>
      </x:c>
      <x:c r="F7" s="19" t="str">
        <x:v>QSFP-DD</x:v>
      </x:c>
      <x:c r="G7" s="19" t="str">
        <x:v>8×50G</x:v>
      </x:c>
      <x:c r="H7" s="19" t="n">
        <x:v>8</x:v>
      </x:c>
      <x:c r="I7" s="19" t="n">
        <x:v>50</x:v>
      </x:c>
      <x:c r="J7" s="19" t="str">
        <x:v>PAM4</x:v>
      </x:c>
      <x:c r="K7" s="19" t="str">
        <x:v>4×100G</x:v>
      </x:c>
      <x:c r="L7" s="19" t="n">
        <x:v>4</x:v>
      </x:c>
      <x:c r="M7" s="19" t="n">
        <x:v>100</x:v>
      </x:c>
      <x:c r="N7" s="19" t="str">
        <x:v>4路并行</x:v>
      </x:c>
      <x:c r="O7" s="19" t="str">
        <x:v>DR4/500m</x:v>
      </x:c>
      <x:c r="P7" s="19" t="n">
        <x:v>500</x:v>
      </x:c>
      <x:c r="Q7" s="19" t="str">
        <x:v>PSM SMF</x:v>
      </x:c>
      <x:c r="R7" s="19" t="str">
        <x:v>1310nm并行</x:v>
      </x:c>
      <x:c r="S7" s="19" t="str">
        <x:v>MPO12</x:v>
      </x:c>
      <x:c r="T7" s="19" t="str">
        <x:v>EML</x:v>
      </x:c>
      <x:c r="U7" s="19" t="str">
        <x:v>InGaAs PIN</x:v>
      </x:c>
      <x:c r="V7" s="19" t="str">
        <x:v>Retimed</x:v>
      </x:c>
      <x:c r="W7" s="19" t="str">
        <x:v>含DSP/Gearbox</x:v>
      </x:c>
      <x:c r="X7" s="19" t="str">
        <x:v>不需要</x:v>
      </x:c>
      <x:c r="Y7" s="19" t="str">
        <x:v>内部激光</x:v>
      </x:c>
      <x:c r="Z7" s="19" t="str">
        <x:v>非制冷</x:v>
      </x:c>
      <x:c r="AA7" s="19"/>
      <x:c r="AB7" s="19" t="str">
        <x:v>量产</x:v>
      </x:c>
      <x:c r="AC7" s="20" t="n">
        <x:v>165</x:v>
      </x:c>
      <x:c r="AD7" s="19" t="str">
        <x:v>LightCounting同类ASP</x:v>
      </x:c>
      <x:c r="AE7" s="19" t="str">
        <x:v>中</x:v>
      </x:c>
      <x:c r="AF7" s="19" t="str">
        <x:v>S01;S16</x:v>
      </x:c>
      <x:c r="AG7" s="19" t="str"/>
      <x:c r="AH7" s="19" t="str">
        <x:v>并行单模，每个光通道独占一对光纤</x:v>
      </x:c>
    </x:row>
    <x:row r="8" ht="24" hidden="0" customHeight="1">
      <x:c r="A8" s="19" t="str">
        <x:v>400-QDD-SR42-8E8O-VCSEL</x:v>
      </x:c>
      <x:c r="B8" s="19" t="str">
        <x:v>400G</x:v>
      </x:c>
      <x:c r="C8" s="19" t="str">
        <x:v>400G-SR4.2 QSFP56-DD</x:v>
      </x:c>
      <x:c r="D8" s="19" t="str">
        <x:v>InnoLight</x:v>
      </x:c>
      <x:c r="E8" s="19" t="str">
        <x:v>公开产品</x:v>
      </x:c>
      <x:c r="F8" s="19" t="str">
        <x:v>QSFP-DD</x:v>
      </x:c>
      <x:c r="G8" s="19" t="str">
        <x:v>8×50G</x:v>
      </x:c>
      <x:c r="H8" s="19" t="n">
        <x:v>8</x:v>
      </x:c>
      <x:c r="I8" s="19" t="n">
        <x:v>50</x:v>
      </x:c>
      <x:c r="J8" s="19" t="str">
        <x:v>PAM4</x:v>
      </x:c>
      <x:c r="K8" s="19" t="str">
        <x:v>8×50G</x:v>
      </x:c>
      <x:c r="L8" s="19" t="n">
        <x:v>8</x:v>
      </x:c>
      <x:c r="M8" s="19" t="n">
        <x:v>50</x:v>
      </x:c>
      <x:c r="N8" s="19" t="str">
        <x:v>双向双波长/4对纤芯</x:v>
      </x:c>
      <x:c r="O8" s="19" t="str">
        <x:v>SR4.2/100m</x:v>
      </x:c>
      <x:c r="P8" s="19" t="n">
        <x:v>100</x:v>
      </x:c>
      <x:c r="Q8" s="19" t="str">
        <x:v>MMF</x:v>
      </x:c>
      <x:c r="R8" s="19" t="str">
        <x:v>850/910nm</x:v>
      </x:c>
      <x:c r="S8" s="19" t="str">
        <x:v>MPO12</x:v>
      </x:c>
      <x:c r="T8" s="19" t="str">
        <x:v>VCSEL</x:v>
      </x:c>
      <x:c r="U8" s="19" t="str">
        <x:v>GaAs PIN Array</x:v>
      </x:c>
      <x:c r="V8" s="19" t="str">
        <x:v>Retimed</x:v>
      </x:c>
      <x:c r="W8" s="19" t="str">
        <x:v>含DSP/Gearbox</x:v>
      </x:c>
      <x:c r="X8" s="19" t="str">
        <x:v>波分合分波</x:v>
      </x:c>
      <x:c r="Y8" s="19" t="str">
        <x:v>内部激光</x:v>
      </x:c>
      <x:c r="Z8" s="19" t="str">
        <x:v>非制冷</x:v>
      </x:c>
      <x:c r="AA8" s="19"/>
      <x:c r="AB8" s="19" t="str">
        <x:v>量产</x:v>
      </x:c>
      <x:c r="AC8" s="20" t="n">
        <x:v>80</x:v>
      </x:c>
      <x:c r="AD8" s="19" t="str">
        <x:v>以400G SR8 ASP为近似代理</x:v>
      </x:c>
      <x:c r="AE8" s="19" t="str">
        <x:v>低</x:v>
      </x:c>
      <x:c r="AF8" s="19" t="str">
        <x:v>S01;S16</x:v>
      </x:c>
      <x:c r="AG8" s="19" t="str">
        <x:v>价格代理</x:v>
      </x:c>
      <x:c r="AH8" s="19" t="str">
        <x:v>SR4.2不是SR8，使用双波长压缩光纤数量</x:v>
      </x:c>
    </x:row>
    <x:row r="9" ht="15" hidden="0" customHeight="1">
      <x:c r="A9" s="19" t="str">
        <x:v>400-QDD-SR8-8E8O-VCSEL</x:v>
      </x:c>
      <x:c r="B9" s="19" t="str">
        <x:v>400G</x:v>
      </x:c>
      <x:c r="C9" s="19" t="str">
        <x:v>400G-SR8 QSFP56-DD</x:v>
      </x:c>
      <x:c r="D9" s="19" t="str">
        <x:v>InnoLight</x:v>
      </x:c>
      <x:c r="E9" s="19" t="str">
        <x:v>公开产品</x:v>
      </x:c>
      <x:c r="F9" s="19" t="str">
        <x:v>QSFP-DD</x:v>
      </x:c>
      <x:c r="G9" s="19" t="str">
        <x:v>8×50G</x:v>
      </x:c>
      <x:c r="H9" s="19" t="n">
        <x:v>8</x:v>
      </x:c>
      <x:c r="I9" s="19" t="n">
        <x:v>50</x:v>
      </x:c>
      <x:c r="J9" s="19" t="str">
        <x:v>PAM4</x:v>
      </x:c>
      <x:c r="K9" s="19" t="str">
        <x:v>8×50G</x:v>
      </x:c>
      <x:c r="L9" s="19" t="n">
        <x:v>8</x:v>
      </x:c>
      <x:c r="M9" s="19" t="n">
        <x:v>50</x:v>
      </x:c>
      <x:c r="N9" s="19" t="str">
        <x:v>8路并行</x:v>
      </x:c>
      <x:c r="O9" s="19" t="str">
        <x:v>SR8/100m</x:v>
      </x:c>
      <x:c r="P9" s="19" t="n">
        <x:v>100</x:v>
      </x:c>
      <x:c r="Q9" s="19" t="str">
        <x:v>MMF</x:v>
      </x:c>
      <x:c r="R9" s="19" t="str">
        <x:v>850nm</x:v>
      </x:c>
      <x:c r="S9" s="19" t="str">
        <x:v>MPO16</x:v>
      </x:c>
      <x:c r="T9" s="19" t="str">
        <x:v>VCSEL</x:v>
      </x:c>
      <x:c r="U9" s="19" t="str">
        <x:v>GaAs PIN Array</x:v>
      </x:c>
      <x:c r="V9" s="19" t="str">
        <x:v>Retimed</x:v>
      </x:c>
      <x:c r="W9" s="19" t="str">
        <x:v>含DSP/Gearbox</x:v>
      </x:c>
      <x:c r="X9" s="19" t="str">
        <x:v>不需要</x:v>
      </x:c>
      <x:c r="Y9" s="19" t="str">
        <x:v>内部激光</x:v>
      </x:c>
      <x:c r="Z9" s="19" t="str">
        <x:v>非制冷</x:v>
      </x:c>
      <x:c r="AA9" s="19"/>
      <x:c r="AB9" s="19" t="str">
        <x:v>量产</x:v>
      </x:c>
      <x:c r="AC9" s="20" t="n">
        <x:v>80</x:v>
      </x:c>
      <x:c r="AD9" s="19" t="str">
        <x:v>LightCounting同类ASP</x:v>
      </x:c>
      <x:c r="AE9" s="19" t="str">
        <x:v>中</x:v>
      </x:c>
      <x:c r="AF9" s="19" t="str">
        <x:v>S01;S16</x:v>
      </x:c>
      <x:c r="AG9" s="19" t="str"/>
      <x:c r="AH9" s="19" t="str">
        <x:v>短距多模并行，光纤和端口密度较高</x:v>
      </x:c>
    </x:row>
    <x:row r="10" ht="24" hidden="0" customHeight="1">
      <x:c r="A10" s="19" t="str">
        <x:v>400-Q112-VR4-4E4O-VCSEL</x:v>
      </x:c>
      <x:c r="B10" s="19" t="str">
        <x:v>400G</x:v>
      </x:c>
      <x:c r="C10" s="19" t="str">
        <x:v>400G-VR4 QSFP112</x:v>
      </x:c>
      <x:c r="D10" s="19" t="str">
        <x:v>InnoLight</x:v>
      </x:c>
      <x:c r="E10" s="19" t="str">
        <x:v>公开产品</x:v>
      </x:c>
      <x:c r="F10" s="19" t="str">
        <x:v>QSFP112</x:v>
      </x:c>
      <x:c r="G10" s="19" t="str">
        <x:v>4×100G</x:v>
      </x:c>
      <x:c r="H10" s="19" t="n">
        <x:v>4</x:v>
      </x:c>
      <x:c r="I10" s="19" t="n">
        <x:v>100</x:v>
      </x:c>
      <x:c r="J10" s="19" t="str">
        <x:v>PAM4</x:v>
      </x:c>
      <x:c r="K10" s="19" t="str">
        <x:v>4×100G</x:v>
      </x:c>
      <x:c r="L10" s="19" t="n">
        <x:v>4</x:v>
      </x:c>
      <x:c r="M10" s="19" t="n">
        <x:v>100</x:v>
      </x:c>
      <x:c r="N10" s="19" t="str">
        <x:v>4路并行</x:v>
      </x:c>
      <x:c r="O10" s="19" t="str">
        <x:v>VR4/30m</x:v>
      </x:c>
      <x:c r="P10" s="19" t="n">
        <x:v>30</x:v>
      </x:c>
      <x:c r="Q10" s="19" t="str">
        <x:v>MMF</x:v>
      </x:c>
      <x:c r="R10" s="19" t="str">
        <x:v>850nm</x:v>
      </x:c>
      <x:c r="S10" s="19" t="str">
        <x:v>MPO12</x:v>
      </x:c>
      <x:c r="T10" s="19" t="str">
        <x:v>VCSEL</x:v>
      </x:c>
      <x:c r="U10" s="19" t="str">
        <x:v>GaAs PIN Array</x:v>
      </x:c>
      <x:c r="V10" s="19" t="str">
        <x:v>Retimed</x:v>
      </x:c>
      <x:c r="W10" s="19" t="str">
        <x:v>含DSP</x:v>
      </x:c>
      <x:c r="X10" s="19" t="str">
        <x:v>不需要</x:v>
      </x:c>
      <x:c r="Y10" s="19" t="str">
        <x:v>内部激光</x:v>
      </x:c>
      <x:c r="Z10" s="19" t="str">
        <x:v>非制冷</x:v>
      </x:c>
      <x:c r="AA10" s="19"/>
      <x:c r="AB10" s="19" t="str">
        <x:v>量产</x:v>
      </x:c>
      <x:c r="AC10" s="20" t="n">
        <x:v>105</x:v>
      </x:c>
      <x:c r="AD10" s="19" t="str">
        <x:v>以400G SR4 ASP为近似代理</x:v>
      </x:c>
      <x:c r="AE10" s="19" t="str">
        <x:v>低</x:v>
      </x:c>
      <x:c r="AF10" s="19" t="str">
        <x:v>S02;S16</x:v>
      </x:c>
      <x:c r="AG10" s="19" t="str">
        <x:v>价格代理</x:v>
      </x:c>
      <x:c r="AH10" s="19" t="str">
        <x:v>主机侧已升级为100G/lane，无需8:4 gearbox</x:v>
      </x:c>
    </x:row>
    <x:row r="11" ht="15" hidden="0" customHeight="1">
      <x:c r="A11" s="19" t="str">
        <x:v>400-O112-DR4-4E4O-EML</x:v>
      </x:c>
      <x:c r="B11" s="19" t="str">
        <x:v>400G</x:v>
      </x:c>
      <x:c r="C11" s="19" t="str">
        <x:v>400G-DR4 OSFP112</x:v>
      </x:c>
      <x:c r="D11" s="19" t="str">
        <x:v>InnoLight</x:v>
      </x:c>
      <x:c r="E11" s="19" t="str">
        <x:v>公开产品</x:v>
      </x:c>
      <x:c r="F11" s="19" t="str">
        <x:v>OSFP112</x:v>
      </x:c>
      <x:c r="G11" s="19" t="str">
        <x:v>4×100G</x:v>
      </x:c>
      <x:c r="H11" s="19" t="n">
        <x:v>4</x:v>
      </x:c>
      <x:c r="I11" s="19" t="n">
        <x:v>100</x:v>
      </x:c>
      <x:c r="J11" s="19" t="str">
        <x:v>PAM4</x:v>
      </x:c>
      <x:c r="K11" s="19" t="str">
        <x:v>4×100G</x:v>
      </x:c>
      <x:c r="L11" s="19" t="n">
        <x:v>4</x:v>
      </x:c>
      <x:c r="M11" s="19" t="n">
        <x:v>100</x:v>
      </x:c>
      <x:c r="N11" s="19" t="str">
        <x:v>4路并行</x:v>
      </x:c>
      <x:c r="O11" s="19" t="str">
        <x:v>DR4/500m</x:v>
      </x:c>
      <x:c r="P11" s="19" t="n">
        <x:v>500</x:v>
      </x:c>
      <x:c r="Q11" s="19" t="str">
        <x:v>PSM SMF</x:v>
      </x:c>
      <x:c r="R11" s="19" t="str">
        <x:v>1310nm并行</x:v>
      </x:c>
      <x:c r="S11" s="19" t="str">
        <x:v>MPO12</x:v>
      </x:c>
      <x:c r="T11" s="19" t="str">
        <x:v>EML</x:v>
      </x:c>
      <x:c r="U11" s="19" t="str">
        <x:v>InGaAs PIN</x:v>
      </x:c>
      <x:c r="V11" s="19" t="str">
        <x:v>Retimed</x:v>
      </x:c>
      <x:c r="W11" s="19" t="str">
        <x:v>含DSP</x:v>
      </x:c>
      <x:c r="X11" s="19" t="str">
        <x:v>不需要</x:v>
      </x:c>
      <x:c r="Y11" s="19" t="str">
        <x:v>内部激光</x:v>
      </x:c>
      <x:c r="Z11" s="19" t="str">
        <x:v>OSFP散热器</x:v>
      </x:c>
      <x:c r="AA11" s="19"/>
      <x:c r="AB11" s="19" t="str">
        <x:v>量产</x:v>
      </x:c>
      <x:c r="AC11" s="20" t="n">
        <x:v>165</x:v>
      </x:c>
      <x:c r="AD11" s="19" t="str">
        <x:v>LightCounting同类ASP</x:v>
      </x:c>
      <x:c r="AE11" s="19" t="str">
        <x:v>中</x:v>
      </x:c>
      <x:c r="AF11" s="19" t="str">
        <x:v>S03;S16</x:v>
      </x:c>
      <x:c r="AG11" s="19" t="str"/>
      <x:c r="AH11" s="19" t="str">
        <x:v>4×100G电侧与4×100G光侧一一对应</x:v>
      </x:c>
    </x:row>
    <x:row r="12" ht="24" hidden="0" customHeight="1">
      <x:c r="A12" s="19" t="str">
        <x:v>400-QDD-AOC-8E8O-VCSEL</x:v>
      </x:c>
      <x:c r="B12" s="19" t="str">
        <x:v>400G</x:v>
      </x:c>
      <x:c r="C12" s="19" t="str">
        <x:v>400G AOC QSFP56-DD</x:v>
      </x:c>
      <x:c r="D12" s="19" t="str">
        <x:v>InnoLight</x:v>
      </x:c>
      <x:c r="E12" s="19" t="str">
        <x:v>公开产品</x:v>
      </x:c>
      <x:c r="F12" s="19" t="str">
        <x:v>QSFP-DD AOC</x:v>
      </x:c>
      <x:c r="G12" s="19" t="str">
        <x:v>8×50G</x:v>
      </x:c>
      <x:c r="H12" s="19" t="n">
        <x:v>8</x:v>
      </x:c>
      <x:c r="I12" s="19" t="n">
        <x:v>50</x:v>
      </x:c>
      <x:c r="J12" s="19" t="str">
        <x:v>PAM4</x:v>
      </x:c>
      <x:c r="K12" s="19" t="str">
        <x:v>8×50G</x:v>
      </x:c>
      <x:c r="L12" s="19" t="n">
        <x:v>8</x:v>
      </x:c>
      <x:c r="M12" s="19" t="n">
        <x:v>50</x:v>
      </x:c>
      <x:c r="N12" s="19" t="str">
        <x:v>固定光缆并行</x:v>
      </x:c>
      <x:c r="O12" s="19" t="str">
        <x:v>AOC/100m</x:v>
      </x:c>
      <x:c r="P12" s="19" t="n">
        <x:v>100</x:v>
      </x:c>
      <x:c r="Q12" s="19" t="str">
        <x:v>MMF</x:v>
      </x:c>
      <x:c r="R12" s="19" t="str">
        <x:v>850nm</x:v>
      </x:c>
      <x:c r="S12" s="19" t="str">
        <x:v>固定尾纤</x:v>
      </x:c>
      <x:c r="T12" s="19" t="str">
        <x:v>VCSEL</x:v>
      </x:c>
      <x:c r="U12" s="19" t="str">
        <x:v>GaAs PIN Array</x:v>
      </x:c>
      <x:c r="V12" s="19" t="str">
        <x:v>Retimed</x:v>
      </x:c>
      <x:c r="W12" s="19" t="str">
        <x:v>含DSP/Gearbox</x:v>
      </x:c>
      <x:c r="X12" s="19" t="str">
        <x:v>不需要</x:v>
      </x:c>
      <x:c r="Y12" s="19" t="str">
        <x:v>内部激光</x:v>
      </x:c>
      <x:c r="Z12" s="19" t="str">
        <x:v>非制冷</x:v>
      </x:c>
      <x:c r="AA12" s="19"/>
      <x:c r="AB12" s="19" t="str">
        <x:v>量产</x:v>
      </x:c>
      <x:c r="AC12" s="20" t="n">
        <x:v>80</x:v>
      </x:c>
      <x:c r="AD12" s="19" t="str">
        <x:v>以400G SR8 ASP为近似代理</x:v>
      </x:c>
      <x:c r="AE12" s="19" t="str">
        <x:v>低</x:v>
      </x:c>
      <x:c r="AF12" s="19" t="str">
        <x:v>S01;S16</x:v>
      </x:c>
      <x:c r="AG12" s="19" t="str">
        <x:v>价格代理</x:v>
      </x:c>
      <x:c r="AH12" s="19" t="str">
        <x:v>连接器被固定光缆取代，现场维护方式不同</x:v>
      </x:c>
    </x:row>
    <x:row r="13" ht="48" hidden="0" customHeight="1">
      <x:c r="A13" s="19" t="str">
        <x:v>400-QDD-DR4-8E4O-SIPH-INTEL</x:v>
      </x:c>
      <x:c r="B13" s="19" t="str">
        <x:v>400G</x:v>
      </x:c>
      <x:c r="C13" s="19" t="str">
        <x:v>400G-DR4 Silicon Photonics QSFP-DD</x:v>
      </x:c>
      <x:c r="D13" s="19" t="str">
        <x:v>Intel</x:v>
      </x:c>
      <x:c r="E13" s="19" t="str">
        <x:v>公开产品/状态冲突</x:v>
      </x:c>
      <x:c r="F13" s="19" t="str">
        <x:v>QSFP-DD</x:v>
      </x:c>
      <x:c r="G13" s="19" t="str">
        <x:v>8×50G</x:v>
      </x:c>
      <x:c r="H13" s="19" t="n">
        <x:v>8</x:v>
      </x:c>
      <x:c r="I13" s="19" t="n">
        <x:v>50</x:v>
      </x:c>
      <x:c r="J13" s="19" t="str">
        <x:v>400GAUI-8 PAM4</x:v>
      </x:c>
      <x:c r="K13" s="19" t="str">
        <x:v>4×100G</x:v>
      </x:c>
      <x:c r="L13" s="19" t="n">
        <x:v>4</x:v>
      </x:c>
      <x:c r="M13" s="19" t="n">
        <x:v>100</x:v>
      </x:c>
      <x:c r="N13" s="19" t="str">
        <x:v>4路并行</x:v>
      </x:c>
      <x:c r="O13" s="19" t="str">
        <x:v>DR4/500m</x:v>
      </x:c>
      <x:c r="P13" s="19" t="n">
        <x:v>500</x:v>
      </x:c>
      <x:c r="Q13" s="19" t="str">
        <x:v>PSM SMF</x:v>
      </x:c>
      <x:c r="R13" s="19" t="str">
        <x:v>1310nm并行</x:v>
      </x:c>
      <x:c r="S13" s="19" t="str">
        <x:v>MPO</x:v>
      </x:c>
      <x:c r="T13" s="19" t="str">
        <x:v>Integrated CW laser+SiPh</x:v>
      </x:c>
      <x:c r="U13" s="19" t="str">
        <x:v>SiPh integrated PD</x:v>
      </x:c>
      <x:c r="V13" s="19" t="str">
        <x:v>Retimed</x:v>
      </x:c>
      <x:c r="W13" s="19" t="str">
        <x:v>含DSP/Gearbox</x:v>
      </x:c>
      <x:c r="X13" s="19" t="str">
        <x:v>不需要</x:v>
      </x:c>
      <x:c r="Y13" s="19" t="str">
        <x:v>片上集成激光平台</x:v>
      </x:c>
      <x:c r="Z13" s="19" t="str">
        <x:v>非制冷/0-70°C</x:v>
      </x:c>
      <x:c r="AA13" s="19"/>
      <x:c r="AB13" s="19" t="str">
        <x:v>历史量产/状态需核</x:v>
      </x:c>
      <x:c r="AC13" s="20" t="n">
        <x:v>165</x:v>
      </x:c>
      <x:c r="AD13" s="19" t="str">
        <x:v>以LightCounting 400G DR4 ASP为代理</x:v>
      </x:c>
      <x:c r="AE13" s="19" t="str">
        <x:v>低</x:v>
      </x:c>
      <x:c r="AF13" s="19" t="str">
        <x:v>S16;S27</x:v>
      </x:c>
      <x:c r="AG13" s="19" t="str">
        <x:v>产品状态冲突/价格代理</x:v>
      </x:c>
      <x:c r="AH13" s="19" t="str">
        <x:v>Intel规格页标记Launched，Ordering页标记Retired/Discontinued；SiPh平台公开片上激光，但SKU内部die级BOM未完整披露</x:v>
      </x:c>
    </x:row>
    <x:row r="14" ht="24" hidden="0" customHeight="1">
      <x:c r="A14" s="19" t="str">
        <x:v>800-QDD-2FR4-8E8O-EML</x:v>
      </x:c>
      <x:c r="B14" s="19" t="str">
        <x:v>800G</x:v>
      </x:c>
      <x:c r="C14" s="19" t="str">
        <x:v>800G-2×FR4 QSFP112-DD</x:v>
      </x:c>
      <x:c r="D14" s="19" t="str">
        <x:v>InnoLight</x:v>
      </x:c>
      <x:c r="E14" s="19" t="str">
        <x:v>公开产品</x:v>
      </x:c>
      <x:c r="F14" s="19" t="str">
        <x:v>QSFP-DD800</x:v>
      </x:c>
      <x:c r="G14" s="19" t="str">
        <x:v>8×100G</x:v>
      </x:c>
      <x:c r="H14" s="19" t="n">
        <x:v>8</x:v>
      </x:c>
      <x:c r="I14" s="19" t="n">
        <x:v>100</x:v>
      </x:c>
      <x:c r="J14" s="19" t="str">
        <x:v>PAM4</x:v>
      </x:c>
      <x:c r="K14" s="19" t="str">
        <x:v>8×100G</x:v>
      </x:c>
      <x:c r="L14" s="19" t="n">
        <x:v>8</x:v>
      </x:c>
      <x:c r="M14" s="19" t="n">
        <x:v>100</x:v>
      </x:c>
      <x:c r="N14" s="19" t="str">
        <x:v>2组4λ CWDM</x:v>
      </x:c>
      <x:c r="O14" s="19" t="str">
        <x:v>2×FR4/2km</x:v>
      </x:c>
      <x:c r="P14" s="19" t="n">
        <x:v>2000</x:v>
      </x:c>
      <x:c r="Q14" s="19" t="str">
        <x:v>SMF</x:v>
      </x:c>
      <x:c r="R14" s="19" t="str">
        <x:v>2组4λ CWDM</x:v>
      </x:c>
      <x:c r="S14" s="19" t="str">
        <x:v>Dual LC</x:v>
      </x:c>
      <x:c r="T14" s="19" t="str">
        <x:v>EML</x:v>
      </x:c>
      <x:c r="U14" s="19" t="str">
        <x:v>InGaAs PIN</x:v>
      </x:c>
      <x:c r="V14" s="19" t="str">
        <x:v>Retimed</x:v>
      </x:c>
      <x:c r="W14" s="19" t="str">
        <x:v>含DSP</x:v>
      </x:c>
      <x:c r="X14" s="19" t="str">
        <x:v>需要</x:v>
      </x:c>
      <x:c r="Y14" s="19" t="str">
        <x:v>内部激光</x:v>
      </x:c>
      <x:c r="Z14" s="19" t="str">
        <x:v>非制冷</x:v>
      </x:c>
      <x:c r="AA14" s="19"/>
      <x:c r="AB14" s="19" t="str">
        <x:v>量产</x:v>
      </x:c>
      <x:c r="AC14" s="20" t="n">
        <x:v>360</x:v>
      </x:c>
      <x:c r="AD14" s="19" t="str">
        <x:v>LightCounting同类ASP</x:v>
      </x:c>
      <x:c r="AE14" s="19" t="str">
        <x:v>中</x:v>
      </x:c>
      <x:c r="AF14" s="19" t="str">
        <x:v>S04;S16</x:v>
      </x:c>
      <x:c r="AG14" s="19" t="str"/>
      <x:c r="AH14" s="19" t="str">
        <x:v>两个独立400G-FR4光接口，共8条100G光通道</x:v>
      </x:c>
    </x:row>
    <x:row r="15" ht="15" hidden="0" customHeight="1">
      <x:c r="A15" s="19" t="str">
        <x:v>800-QDD-2DR4-8E8O-EML</x:v>
      </x:c>
      <x:c r="B15" s="19" t="str">
        <x:v>800G</x:v>
      </x:c>
      <x:c r="C15" s="19" t="str">
        <x:v>800G-2×DR4 QSFP112-DD</x:v>
      </x:c>
      <x:c r="D15" s="19" t="str">
        <x:v>InnoLight</x:v>
      </x:c>
      <x:c r="E15" s="19" t="str">
        <x:v>公开产品</x:v>
      </x:c>
      <x:c r="F15" s="19" t="str">
        <x:v>QSFP-DD800</x:v>
      </x:c>
      <x:c r="G15" s="19" t="str">
        <x:v>8×100G</x:v>
      </x:c>
      <x:c r="H15" s="19" t="n">
        <x:v>8</x:v>
      </x:c>
      <x:c r="I15" s="19" t="n">
        <x:v>100</x:v>
      </x:c>
      <x:c r="J15" s="19" t="str">
        <x:v>PAM4</x:v>
      </x:c>
      <x:c r="K15" s="19" t="str">
        <x:v>8×100G</x:v>
      </x:c>
      <x:c r="L15" s="19" t="n">
        <x:v>8</x:v>
      </x:c>
      <x:c r="M15" s="19" t="n">
        <x:v>100</x:v>
      </x:c>
      <x:c r="N15" s="19" t="str">
        <x:v>2组4路并行</x:v>
      </x:c>
      <x:c r="O15" s="19" t="str">
        <x:v>2×DR4/500m</x:v>
      </x:c>
      <x:c r="P15" s="19" t="n">
        <x:v>500</x:v>
      </x:c>
      <x:c r="Q15" s="19" t="str">
        <x:v>PSM SMF</x:v>
      </x:c>
      <x:c r="R15" s="19" t="str">
        <x:v>1310nm并行</x:v>
      </x:c>
      <x:c r="S15" s="19" t="str">
        <x:v>Dual MPO12</x:v>
      </x:c>
      <x:c r="T15" s="19" t="str">
        <x:v>EML</x:v>
      </x:c>
      <x:c r="U15" s="19" t="str">
        <x:v>InGaAs PIN</x:v>
      </x:c>
      <x:c r="V15" s="19" t="str">
        <x:v>Retimed</x:v>
      </x:c>
      <x:c r="W15" s="19" t="str">
        <x:v>含DSP</x:v>
      </x:c>
      <x:c r="X15" s="19" t="str">
        <x:v>不需要</x:v>
      </x:c>
      <x:c r="Y15" s="19" t="str">
        <x:v>内部激光</x:v>
      </x:c>
      <x:c r="Z15" s="19" t="str">
        <x:v>非制冷</x:v>
      </x:c>
      <x:c r="AA15" s="19"/>
      <x:c r="AB15" s="19" t="str">
        <x:v>量产</x:v>
      </x:c>
      <x:c r="AC15" s="20" t="n">
        <x:v>320</x:v>
      </x:c>
      <x:c r="AD15" s="19" t="str">
        <x:v>以800G DR8 ASP为近似代理</x:v>
      </x:c>
      <x:c r="AE15" s="19" t="str">
        <x:v>低</x:v>
      </x:c>
      <x:c r="AF15" s="19" t="str">
        <x:v>S04;S16</x:v>
      </x:c>
      <x:c r="AG15" s="19" t="str">
        <x:v>价格代理</x:v>
      </x:c>
      <x:c r="AH15" s="19" t="str">
        <x:v>双MPO12适合2×400G breakout</x:v>
      </x:c>
    </x:row>
    <x:row r="16" ht="15" hidden="0" customHeight="1">
      <x:c r="A16" s="19" t="str">
        <x:v>800-QDD-DR8-8E8O-EML</x:v>
      </x:c>
      <x:c r="B16" s="19" t="str">
        <x:v>800G</x:v>
      </x:c>
      <x:c r="C16" s="19" t="str">
        <x:v>800G-DR8 QSFP112-DD</x:v>
      </x:c>
      <x:c r="D16" s="19" t="str">
        <x:v>InnoLight</x:v>
      </x:c>
      <x:c r="E16" s="19" t="str">
        <x:v>公开产品</x:v>
      </x:c>
      <x:c r="F16" s="19" t="str">
        <x:v>QSFP-DD800</x:v>
      </x:c>
      <x:c r="G16" s="19" t="str">
        <x:v>8×100G</x:v>
      </x:c>
      <x:c r="H16" s="19" t="n">
        <x:v>8</x:v>
      </x:c>
      <x:c r="I16" s="19" t="n">
        <x:v>100</x:v>
      </x:c>
      <x:c r="J16" s="19" t="str">
        <x:v>PAM4</x:v>
      </x:c>
      <x:c r="K16" s="19" t="str">
        <x:v>8×100G</x:v>
      </x:c>
      <x:c r="L16" s="19" t="n">
        <x:v>8</x:v>
      </x:c>
      <x:c r="M16" s="19" t="n">
        <x:v>100</x:v>
      </x:c>
      <x:c r="N16" s="19" t="str">
        <x:v>8路并行</x:v>
      </x:c>
      <x:c r="O16" s="19" t="str">
        <x:v>DR8/500m</x:v>
      </x:c>
      <x:c r="P16" s="19" t="n">
        <x:v>500</x:v>
      </x:c>
      <x:c r="Q16" s="19" t="str">
        <x:v>PSM SMF</x:v>
      </x:c>
      <x:c r="R16" s="19" t="str">
        <x:v>1310nm并行</x:v>
      </x:c>
      <x:c r="S16" s="19" t="str">
        <x:v>MPO16</x:v>
      </x:c>
      <x:c r="T16" s="19" t="str">
        <x:v>EML</x:v>
      </x:c>
      <x:c r="U16" s="19" t="str">
        <x:v>InGaAs PIN</x:v>
      </x:c>
      <x:c r="V16" s="19" t="str">
        <x:v>Retimed</x:v>
      </x:c>
      <x:c r="W16" s="19" t="str">
        <x:v>含DSP</x:v>
      </x:c>
      <x:c r="X16" s="19" t="str">
        <x:v>不需要</x:v>
      </x:c>
      <x:c r="Y16" s="19" t="str">
        <x:v>内部激光</x:v>
      </x:c>
      <x:c r="Z16" s="19" t="str">
        <x:v>非制冷</x:v>
      </x:c>
      <x:c r="AA16" s="19"/>
      <x:c r="AB16" s="19" t="str">
        <x:v>量产</x:v>
      </x:c>
      <x:c r="AC16" s="20" t="n">
        <x:v>320</x:v>
      </x:c>
      <x:c r="AD16" s="19" t="str">
        <x:v>LightCounting同类ASP</x:v>
      </x:c>
      <x:c r="AE16" s="19" t="str">
        <x:v>中</x:v>
      </x:c>
      <x:c r="AF16" s="19" t="str">
        <x:v>S04;S16</x:v>
      </x:c>
      <x:c r="AG16" s="19" t="str"/>
      <x:c r="AH16" s="19" t="str">
        <x:v>8条100G电侧与8条100G光侧一一对应</x:v>
      </x:c>
    </x:row>
    <x:row r="17" ht="24" hidden="0" customHeight="1">
      <x:c r="A17" s="19" t="str">
        <x:v>800-QDD-SR8-8E8O-VCSEL</x:v>
      </x:c>
      <x:c r="B17" s="19" t="str">
        <x:v>800G</x:v>
      </x:c>
      <x:c r="C17" s="19" t="str">
        <x:v>800G-SR8 QSFP112-DD</x:v>
      </x:c>
      <x:c r="D17" s="19" t="str">
        <x:v>InnoLight</x:v>
      </x:c>
      <x:c r="E17" s="19" t="str">
        <x:v>公开产品</x:v>
      </x:c>
      <x:c r="F17" s="19" t="str">
        <x:v>QSFP-DD800</x:v>
      </x:c>
      <x:c r="G17" s="19" t="str">
        <x:v>8×100G</x:v>
      </x:c>
      <x:c r="H17" s="19" t="n">
        <x:v>8</x:v>
      </x:c>
      <x:c r="I17" s="19" t="n">
        <x:v>100</x:v>
      </x:c>
      <x:c r="J17" s="19" t="str">
        <x:v>PAM4</x:v>
      </x:c>
      <x:c r="K17" s="19" t="str">
        <x:v>8×100G</x:v>
      </x:c>
      <x:c r="L17" s="19" t="n">
        <x:v>8</x:v>
      </x:c>
      <x:c r="M17" s="19" t="n">
        <x:v>100</x:v>
      </x:c>
      <x:c r="N17" s="19" t="str">
        <x:v>8路并行</x:v>
      </x:c>
      <x:c r="O17" s="19" t="str">
        <x:v>SR8/50m</x:v>
      </x:c>
      <x:c r="P17" s="19" t="n">
        <x:v>50</x:v>
      </x:c>
      <x:c r="Q17" s="19" t="str">
        <x:v>MMF</x:v>
      </x:c>
      <x:c r="R17" s="19" t="str">
        <x:v>850nm</x:v>
      </x:c>
      <x:c r="S17" s="19" t="str">
        <x:v>Dual MPO12</x:v>
      </x:c>
      <x:c r="T17" s="19" t="str">
        <x:v>VCSEL</x:v>
      </x:c>
      <x:c r="U17" s="19" t="str">
        <x:v>GaAs PIN Array</x:v>
      </x:c>
      <x:c r="V17" s="19" t="str">
        <x:v>Retimed</x:v>
      </x:c>
      <x:c r="W17" s="19" t="str">
        <x:v>含DSP</x:v>
      </x:c>
      <x:c r="X17" s="19" t="str">
        <x:v>不需要</x:v>
      </x:c>
      <x:c r="Y17" s="19" t="str">
        <x:v>内部激光</x:v>
      </x:c>
      <x:c r="Z17" s="19" t="str">
        <x:v>非制冷</x:v>
      </x:c>
      <x:c r="AA17" s="19"/>
      <x:c r="AB17" s="19" t="str">
        <x:v>量产</x:v>
      </x:c>
      <x:c r="AC17" s="20" t="n">
        <x:v>170</x:v>
      </x:c>
      <x:c r="AD17" s="19" t="str">
        <x:v>LightCounting同类ASP</x:v>
      </x:c>
      <x:c r="AE17" s="19" t="str">
        <x:v>中</x:v>
      </x:c>
      <x:c r="AF17" s="19" t="str">
        <x:v>S04;S16</x:v>
      </x:c>
      <x:c r="AG17" s="19" t="str"/>
      <x:c r="AH17" s="19" t="str">
        <x:v>VCSEL短距路线，功耗与成本通常低于单模路线</x:v>
      </x:c>
    </x:row>
    <x:row r="18" ht="24" hidden="0" customHeight="1">
      <x:c r="A18" s="19" t="str">
        <x:v>800-O112-2LR4-8E8O-EML</x:v>
      </x:c>
      <x:c r="B18" s="19" t="str">
        <x:v>800G</x:v>
      </x:c>
      <x:c r="C18" s="19" t="str">
        <x:v>800G-2×LR4 OSFP112</x:v>
      </x:c>
      <x:c r="D18" s="19" t="str">
        <x:v>InnoLight</x:v>
      </x:c>
      <x:c r="E18" s="19" t="str">
        <x:v>公开产品</x:v>
      </x:c>
      <x:c r="F18" s="19" t="str">
        <x:v>OSFP112</x:v>
      </x:c>
      <x:c r="G18" s="19" t="str">
        <x:v>8×100G</x:v>
      </x:c>
      <x:c r="H18" s="19" t="n">
        <x:v>8</x:v>
      </x:c>
      <x:c r="I18" s="19" t="n">
        <x:v>100</x:v>
      </x:c>
      <x:c r="J18" s="19" t="str">
        <x:v>PAM4</x:v>
      </x:c>
      <x:c r="K18" s="19" t="str">
        <x:v>8×100G</x:v>
      </x:c>
      <x:c r="L18" s="19" t="n">
        <x:v>8</x:v>
      </x:c>
      <x:c r="M18" s="19" t="n">
        <x:v>100</x:v>
      </x:c>
      <x:c r="N18" s="19" t="str">
        <x:v>2组4λ CWDM</x:v>
      </x:c>
      <x:c r="O18" s="19" t="str">
        <x:v>2×LR4/10km</x:v>
      </x:c>
      <x:c r="P18" s="19" t="n">
        <x:v>10000</x:v>
      </x:c>
      <x:c r="Q18" s="19" t="str">
        <x:v>SMF</x:v>
      </x:c>
      <x:c r="R18" s="19" t="str">
        <x:v>2组4λ CWDM</x:v>
      </x:c>
      <x:c r="S18" s="19" t="str">
        <x:v>Dual LC</x:v>
      </x:c>
      <x:c r="T18" s="19" t="str">
        <x:v>EML</x:v>
      </x:c>
      <x:c r="U18" s="19" t="str">
        <x:v>InGaAs PIN</x:v>
      </x:c>
      <x:c r="V18" s="19" t="str">
        <x:v>Retimed</x:v>
      </x:c>
      <x:c r="W18" s="19" t="str">
        <x:v>含DSP</x:v>
      </x:c>
      <x:c r="X18" s="19" t="str">
        <x:v>需要</x:v>
      </x:c>
      <x:c r="Y18" s="19" t="str">
        <x:v>内部激光</x:v>
      </x:c>
      <x:c r="Z18" s="19" t="str">
        <x:v>OSFP散热器</x:v>
      </x:c>
      <x:c r="AA18" s="19"/>
      <x:c r="AB18" s="19" t="str">
        <x:v>量产</x:v>
      </x:c>
      <x:c r="AC18" s="20" t="n">
        <x:v>920</x:v>
      </x:c>
      <x:c r="AD18" s="19" t="str">
        <x:v>以2个400G LR4 ASP合计为代理</x:v>
      </x:c>
      <x:c r="AE18" s="19" t="str">
        <x:v>低</x:v>
      </x:c>
      <x:c r="AF18" s="19" t="str">
        <x:v>S05;S16</x:v>
      </x:c>
      <x:c r="AG18" s="19" t="str">
        <x:v>价格代理</x:v>
      </x:c>
      <x:c r="AH18" s="19" t="str">
        <x:v>长距双端口结构，公开ASP可比性较弱</x:v>
      </x:c>
    </x:row>
    <x:row r="19" ht="24" hidden="0" customHeight="1">
      <x:c r="A19" s="19" t="str">
        <x:v>800-O112-DR4-8E4O-dEML</x:v>
      </x:c>
      <x:c r="B19" s="19" t="str">
        <x:v>800G</x:v>
      </x:c>
      <x:c r="C19" s="19" t="str">
        <x:v>800G-DR4 4×200G optics</x:v>
      </x:c>
      <x:c r="D19" s="19" t="str">
        <x:v>Coherent</x:v>
      </x:c>
      <x:c r="E19" s="19" t="str">
        <x:v>公开演示/产品路线</x:v>
      </x:c>
      <x:c r="F19" s="19" t="str">
        <x:v>OSFP112</x:v>
      </x:c>
      <x:c r="G19" s="19" t="str">
        <x:v>8×100G</x:v>
      </x:c>
      <x:c r="H19" s="19" t="n">
        <x:v>8</x:v>
      </x:c>
      <x:c r="I19" s="19" t="n">
        <x:v>100</x:v>
      </x:c>
      <x:c r="J19" s="19" t="str">
        <x:v>PAM4</x:v>
      </x:c>
      <x:c r="K19" s="19" t="str">
        <x:v>4×200G</x:v>
      </x:c>
      <x:c r="L19" s="19" t="n">
        <x:v>4</x:v>
      </x:c>
      <x:c r="M19" s="19" t="n">
        <x:v>200</x:v>
      </x:c>
      <x:c r="N19" s="19" t="str">
        <x:v>4路并行</x:v>
      </x:c>
      <x:c r="O19" s="19" t="str">
        <x:v>DR4/500m</x:v>
      </x:c>
      <x:c r="P19" s="19" t="n">
        <x:v>500</x:v>
      </x:c>
      <x:c r="Q19" s="19" t="str">
        <x:v>PSM SMF</x:v>
      </x:c>
      <x:c r="R19" s="19" t="str">
        <x:v>1310nm并行</x:v>
      </x:c>
      <x:c r="S19" s="19" t="str">
        <x:v>MPO12</x:v>
      </x:c>
      <x:c r="T19" s="19" t="str">
        <x:v>Differential EML</x:v>
      </x:c>
      <x:c r="U19" s="19" t="str">
        <x:v>InGaAs PIN</x:v>
      </x:c>
      <x:c r="V19" s="19" t="str">
        <x:v>Retimed</x:v>
      </x:c>
      <x:c r="W19" s="19" t="str">
        <x:v>含DSP/Gearbox</x:v>
      </x:c>
      <x:c r="X19" s="19" t="str">
        <x:v>不需要</x:v>
      </x:c>
      <x:c r="Y19" s="19" t="str">
        <x:v>内部激光</x:v>
      </x:c>
      <x:c r="Z19" s="19" t="str">
        <x:v>OSFP散热器</x:v>
      </x:c>
      <x:c r="AA19" s="19"/>
      <x:c r="AB19" s="19" t="str">
        <x:v>演示/导入</x:v>
      </x:c>
      <x:c r="AC19" s="20" t="n">
        <x:v>270</x:v>
      </x:c>
      <x:c r="AD19" s="19" t="str">
        <x:v>LightCounting 800G DR4 4×200 ASP</x:v>
      </x:c>
      <x:c r="AE19" s="19" t="str">
        <x:v>中</x:v>
      </x:c>
      <x:c r="AF19" s="19" t="str">
        <x:v>S06;S16</x:v>
      </x:c>
      <x:c r="AG19" s="19" t="str"/>
      <x:c r="AH19" s="19" t="str">
        <x:v>关键示例：8×100G电侧经gearbox转换为4×200G光侧</x:v>
      </x:c>
    </x:row>
    <x:row r="20" ht="36" hidden="0" customHeight="1">
      <x:c r="A20" s="19" t="str">
        <x:v>800-O224-DR4-4E4O-EML-ILL</x:v>
      </x:c>
      <x:c r="B20" s="19" t="str">
        <x:v>800G</x:v>
      </x:c>
      <x:c r="C20" s="19" t="str">
        <x:v>800G-DR4 OSFP224</x:v>
      </x:c>
      <x:c r="D20" s="19" t="str">
        <x:v>InnoLight</x:v>
      </x:c>
      <x:c r="E20" s="19" t="str">
        <x:v>公开产品页</x:v>
      </x:c>
      <x:c r="F20" s="19" t="str">
        <x:v>OSFP224</x:v>
      </x:c>
      <x:c r="G20" s="19" t="str">
        <x:v>4×200G</x:v>
      </x:c>
      <x:c r="H20" s="19" t="n">
        <x:v>4</x:v>
      </x:c>
      <x:c r="I20" s="19" t="n">
        <x:v>200</x:v>
      </x:c>
      <x:c r="J20" s="19" t="str">
        <x:v>PAM4</x:v>
      </x:c>
      <x:c r="K20" s="19" t="str">
        <x:v>4×200G</x:v>
      </x:c>
      <x:c r="L20" s="19" t="n">
        <x:v>4</x:v>
      </x:c>
      <x:c r="M20" s="19" t="n">
        <x:v>200</x:v>
      </x:c>
      <x:c r="N20" s="19" t="str">
        <x:v>页面称4λ CWDM</x:v>
      </x:c>
      <x:c r="O20" s="19" t="str">
        <x:v>DR4/500m</x:v>
      </x:c>
      <x:c r="P20" s="19" t="n">
        <x:v>500</x:v>
      </x:c>
      <x:c r="Q20" s="19" t="str">
        <x:v>SMF</x:v>
      </x:c>
      <x:c r="R20" s="19" t="str">
        <x:v>4λ CWDM，待核</x:v>
      </x:c>
      <x:c r="S20" s="19" t="str">
        <x:v>未披露</x:v>
      </x:c>
      <x:c r="T20" s="19" t="str">
        <x:v>EML</x:v>
      </x:c>
      <x:c r="U20" s="19" t="str">
        <x:v>InGaAs PIN</x:v>
      </x:c>
      <x:c r="V20" s="19" t="str">
        <x:v>Retimed</x:v>
      </x:c>
      <x:c r="W20" s="19" t="str">
        <x:v>含DSP</x:v>
      </x:c>
      <x:c r="X20" s="19" t="str">
        <x:v>页面称需要</x:v>
      </x:c>
      <x:c r="Y20" s="19" t="str">
        <x:v>内部激光</x:v>
      </x:c>
      <x:c r="Z20" s="19" t="str">
        <x:v>OSFP散热器</x:v>
      </x:c>
      <x:c r="AA20" s="19"/>
      <x:c r="AB20" s="19" t="str">
        <x:v>导入</x:v>
      </x:c>
      <x:c r="AC20" s="20" t="n">
        <x:v>270</x:v>
      </x:c>
      <x:c r="AD20" s="19" t="str">
        <x:v>LightCounting 800G DR4 4×200 ASP</x:v>
      </x:c>
      <x:c r="AE20" s="19" t="str">
        <x:v>中</x:v>
      </x:c>
      <x:c r="AF20" s="19" t="str">
        <x:v>S07;S16</x:v>
      </x:c>
      <x:c r="AG20" s="19" t="str">
        <x:v>厂商页面内部矛盾</x:v>
      </x:c>
      <x:c r="AH20" s="19" t="str">
        <x:v>页面产品名为DR4，但正文描述4λ CWDM MUX/DEMUX；连接器未披露，需二次确认</x:v>
      </x:c>
    </x:row>
    <x:row r="21" ht="24" hidden="0" customHeight="1">
      <x:c r="A21" s="19" t="str">
        <x:v>800-O112-DR4-8E4O-SIPH</x:v>
      </x:c>
      <x:c r="B21" s="19" t="str">
        <x:v>800G</x:v>
      </x:c>
      <x:c r="C21" s="19" t="str">
        <x:v>800G-DR4 SiPh+DSP</x:v>
      </x:c>
      <x:c r="D21" s="19" t="str">
        <x:v>Amphenol</x:v>
      </x:c>
      <x:c r="E21" s="19" t="str">
        <x:v>公开产品手册</x:v>
      </x:c>
      <x:c r="F21" s="19" t="str">
        <x:v>OSFP112</x:v>
      </x:c>
      <x:c r="G21" s="19" t="str">
        <x:v>8×100G</x:v>
      </x:c>
      <x:c r="H21" s="19" t="n">
        <x:v>8</x:v>
      </x:c>
      <x:c r="I21" s="19" t="n">
        <x:v>100</x:v>
      </x:c>
      <x:c r="J21" s="19" t="str">
        <x:v>PAM4</x:v>
      </x:c>
      <x:c r="K21" s="19" t="str">
        <x:v>4×200G</x:v>
      </x:c>
      <x:c r="L21" s="19" t="n">
        <x:v>4</x:v>
      </x:c>
      <x:c r="M21" s="19" t="n">
        <x:v>200</x:v>
      </x:c>
      <x:c r="N21" s="19" t="str">
        <x:v>4路并行</x:v>
      </x:c>
      <x:c r="O21" s="19" t="str">
        <x:v>DR4/500m</x:v>
      </x:c>
      <x:c r="P21" s="19" t="n">
        <x:v>500</x:v>
      </x:c>
      <x:c r="Q21" s="19" t="str">
        <x:v>PSM SMF</x:v>
      </x:c>
      <x:c r="R21" s="19" t="str">
        <x:v>1310nm并行</x:v>
      </x:c>
      <x:c r="S21" s="19" t="str">
        <x:v>MPO12</x:v>
      </x:c>
      <x:c r="T21" s="19" t="str">
        <x:v>CW laser+SiPh MZM</x:v>
      </x:c>
      <x:c r="U21" s="19" t="str">
        <x:v>Ge/Si PIN</x:v>
      </x:c>
      <x:c r="V21" s="19" t="str">
        <x:v>Retimed</x:v>
      </x:c>
      <x:c r="W21" s="19" t="str">
        <x:v>含DSP/Gearbox</x:v>
      </x:c>
      <x:c r="X21" s="19" t="str">
        <x:v>不需要</x:v>
      </x:c>
      <x:c r="Y21" s="19" t="str">
        <x:v>内部CW激光</x:v>
      </x:c>
      <x:c r="Z21" s="19" t="str">
        <x:v>OSFP散热器</x:v>
      </x:c>
      <x:c r="AA21" s="19"/>
      <x:c r="AB21" s="19" t="str">
        <x:v>产品系列</x:v>
      </x:c>
      <x:c r="AC21" s="20" t="n">
        <x:v>270</x:v>
      </x:c>
      <x:c r="AD21" s="19" t="str">
        <x:v>LightCounting 800G DR4 4×200 ASP</x:v>
      </x:c>
      <x:c r="AE21" s="19" t="str">
        <x:v>中</x:v>
      </x:c>
      <x:c r="AF21" s="19" t="str">
        <x:v>S08;S16</x:v>
      </x:c>
      <x:c r="AG21" s="19" t="str">
        <x:v>代表性架构</x:v>
      </x:c>
      <x:c r="AH21" s="19" t="str">
        <x:v>公开手册确认SiPh+DSP，内部PIC细节为代表性分解</x:v>
      </x:c>
    </x:row>
    <x:row r="22" ht="24" hidden="0" customHeight="1">
      <x:c r="A22" s="19" t="str">
        <x:v>800-O112-FR4-8E4O-SIPH</x:v>
      </x:c>
      <x:c r="B22" s="19" t="str">
        <x:v>800G</x:v>
      </x:c>
      <x:c r="C22" s="19" t="str">
        <x:v>800G-FR4 SiPh+DSP</x:v>
      </x:c>
      <x:c r="D22" s="19" t="str">
        <x:v>Amphenol</x:v>
      </x:c>
      <x:c r="E22" s="19" t="str">
        <x:v>公开产品手册</x:v>
      </x:c>
      <x:c r="F22" s="19" t="str">
        <x:v>OSFP112</x:v>
      </x:c>
      <x:c r="G22" s="19" t="str">
        <x:v>8×100G</x:v>
      </x:c>
      <x:c r="H22" s="19" t="n">
        <x:v>8</x:v>
      </x:c>
      <x:c r="I22" s="19" t="n">
        <x:v>100</x:v>
      </x:c>
      <x:c r="J22" s="19" t="str">
        <x:v>PAM4</x:v>
      </x:c>
      <x:c r="K22" s="19" t="str">
        <x:v>4×200G</x:v>
      </x:c>
      <x:c r="L22" s="19" t="n">
        <x:v>4</x:v>
      </x:c>
      <x:c r="M22" s="19" t="n">
        <x:v>200</x:v>
      </x:c>
      <x:c r="N22" s="19" t="str">
        <x:v>4λ CWDM</x:v>
      </x:c>
      <x:c r="O22" s="19" t="str">
        <x:v>FR4/2km</x:v>
      </x:c>
      <x:c r="P22" s="19" t="n">
        <x:v>2000</x:v>
      </x:c>
      <x:c r="Q22" s="19" t="str">
        <x:v>SMF</x:v>
      </x:c>
      <x:c r="R22" s="19" t="str">
        <x:v>4λ CWDM</x:v>
      </x:c>
      <x:c r="S22" s="19" t="str">
        <x:v>LC</x:v>
      </x:c>
      <x:c r="T22" s="19" t="str">
        <x:v>CW laser+SiPh MZM</x:v>
      </x:c>
      <x:c r="U22" s="19" t="str">
        <x:v>Ge/Si PIN</x:v>
      </x:c>
      <x:c r="V22" s="19" t="str">
        <x:v>Retimed</x:v>
      </x:c>
      <x:c r="W22" s="19" t="str">
        <x:v>含DSP/Gearbox</x:v>
      </x:c>
      <x:c r="X22" s="19" t="str">
        <x:v>需要</x:v>
      </x:c>
      <x:c r="Y22" s="19" t="str">
        <x:v>内部CW激光</x:v>
      </x:c>
      <x:c r="Z22" s="19" t="str">
        <x:v>OSFP散热器</x:v>
      </x:c>
      <x:c r="AA22" s="19"/>
      <x:c r="AB22" s="19" t="str">
        <x:v>产品系列</x:v>
      </x:c>
      <x:c r="AC22" s="20" t="n">
        <x:v>420</x:v>
      </x:c>
      <x:c r="AD22" s="19" t="str">
        <x:v>LightCounting 800G FR4 4×200 ASP</x:v>
      </x:c>
      <x:c r="AE22" s="19" t="str">
        <x:v>中</x:v>
      </x:c>
      <x:c r="AF22" s="19" t="str">
        <x:v>S08;S16</x:v>
      </x:c>
      <x:c r="AG22" s="19" t="str">
        <x:v>代表性架构</x:v>
      </x:c>
      <x:c r="AH22" s="19" t="str">
        <x:v>4×200G光侧，增加波分MUX/DEMUX</x:v>
      </x:c>
    </x:row>
    <x:row r="23" ht="24" hidden="0" customHeight="1">
      <x:c r="A23" s="19" t="str">
        <x:v>800-O112-2DR4-LPO-SIPH</x:v>
      </x:c>
      <x:c r="B23" s="19" t="str">
        <x:v>800G</x:v>
      </x:c>
      <x:c r="C23" s="19" t="str">
        <x:v>800G 2×DR4 LPO</x:v>
      </x:c>
      <x:c r="D23" s="19" t="str">
        <x:v>Amphenol</x:v>
      </x:c>
      <x:c r="E23" s="19" t="str">
        <x:v>公开产品系列</x:v>
      </x:c>
      <x:c r="F23" s="19" t="str">
        <x:v>OSFP112</x:v>
      </x:c>
      <x:c r="G23" s="19" t="str">
        <x:v>8×100G</x:v>
      </x:c>
      <x:c r="H23" s="19" t="n">
        <x:v>8</x:v>
      </x:c>
      <x:c r="I23" s="19" t="n">
        <x:v>100</x:v>
      </x:c>
      <x:c r="J23" s="19" t="str">
        <x:v>PAM4</x:v>
      </x:c>
      <x:c r="K23" s="19" t="str">
        <x:v>8×100G</x:v>
      </x:c>
      <x:c r="L23" s="19" t="n">
        <x:v>8</x:v>
      </x:c>
      <x:c r="M23" s="19" t="n">
        <x:v>100</x:v>
      </x:c>
      <x:c r="N23" s="19" t="str">
        <x:v>2组4路并行</x:v>
      </x:c>
      <x:c r="O23" s="19" t="str">
        <x:v>2×DR4/500m</x:v>
      </x:c>
      <x:c r="P23" s="19" t="n">
        <x:v>500</x:v>
      </x:c>
      <x:c r="Q23" s="19" t="str">
        <x:v>PSM SMF</x:v>
      </x:c>
      <x:c r="R23" s="19" t="str">
        <x:v>1310nm并行</x:v>
      </x:c>
      <x:c r="S23" s="19" t="str">
        <x:v>Dual MPO12</x:v>
      </x:c>
      <x:c r="T23" s="19" t="str">
        <x:v>CW laser+SiPh</x:v>
      </x:c>
      <x:c r="U23" s="19" t="str">
        <x:v>Ge/Si PIN</x:v>
      </x:c>
      <x:c r="V23" s="19" t="str">
        <x:v>LPO</x:v>
      </x:c>
      <x:c r="W23" s="19" t="str">
        <x:v>无模块DSP</x:v>
      </x:c>
      <x:c r="X23" s="19" t="str">
        <x:v>不需要</x:v>
      </x:c>
      <x:c r="Y23" s="19" t="str">
        <x:v>内部CW激光</x:v>
      </x:c>
      <x:c r="Z23" s="19" t="str">
        <x:v>OSFP散热器</x:v>
      </x:c>
      <x:c r="AA23" s="19"/>
      <x:c r="AB23" s="19" t="str">
        <x:v>样品/导入</x:v>
      </x:c>
      <x:c r="AC23" s="20"/>
      <x:c r="AD23" s="19" t="str">
        <x:v>公开同口径ASP缺失</x:v>
      </x:c>
      <x:c r="AE23" s="19" t="str">
        <x:v>低</x:v>
      </x:c>
      <x:c r="AF23" s="19" t="str">
        <x:v>S09</x:v>
      </x:c>
      <x:c r="AG23" s="19" t="str">
        <x:v>需RFQ</x:v>
      </x:c>
      <x:c r="AH23" s="19" t="str">
        <x:v>LPO取消模块侧DSP，系统互操作和链路预算要求更高</x:v>
      </x:c>
    </x:row>
    <x:row r="24" ht="24" hidden="0" customHeight="1">
      <x:c r="A24" s="19" t="str">
        <x:v>800-O112-DR8-LRO-SIPH</x:v>
      </x:c>
      <x:c r="B24" s="19" t="str">
        <x:v>800G</x:v>
      </x:c>
      <x:c r="C24" s="19" t="str">
        <x:v>800G DR8 LRO</x:v>
      </x:c>
      <x:c r="D24" s="19" t="str">
        <x:v>Amphenol</x:v>
      </x:c>
      <x:c r="E24" s="19" t="str">
        <x:v>公开产品系列</x:v>
      </x:c>
      <x:c r="F24" s="19" t="str">
        <x:v>OSFP112</x:v>
      </x:c>
      <x:c r="G24" s="19" t="str">
        <x:v>8×100G</x:v>
      </x:c>
      <x:c r="H24" s="19" t="n">
        <x:v>8</x:v>
      </x:c>
      <x:c r="I24" s="19" t="n">
        <x:v>100</x:v>
      </x:c>
      <x:c r="J24" s="19" t="str">
        <x:v>PAM4</x:v>
      </x:c>
      <x:c r="K24" s="19" t="str">
        <x:v>8×100G</x:v>
      </x:c>
      <x:c r="L24" s="19" t="n">
        <x:v>8</x:v>
      </x:c>
      <x:c r="M24" s="19" t="n">
        <x:v>100</x:v>
      </x:c>
      <x:c r="N24" s="19" t="str">
        <x:v>8路并行</x:v>
      </x:c>
      <x:c r="O24" s="19" t="str">
        <x:v>DR8/500m</x:v>
      </x:c>
      <x:c r="P24" s="19" t="n">
        <x:v>500</x:v>
      </x:c>
      <x:c r="Q24" s="19" t="str">
        <x:v>PSM SMF</x:v>
      </x:c>
      <x:c r="R24" s="19" t="str">
        <x:v>1310nm并行</x:v>
      </x:c>
      <x:c r="S24" s="19" t="str">
        <x:v>MPO16</x:v>
      </x:c>
      <x:c r="T24" s="19" t="str">
        <x:v>CW laser+SiPh</x:v>
      </x:c>
      <x:c r="U24" s="19" t="str">
        <x:v>Ge/Si PIN</x:v>
      </x:c>
      <x:c r="V24" s="19" t="str">
        <x:v>LRO</x:v>
      </x:c>
      <x:c r="W24" s="19" t="str">
        <x:v>Rx侧retimer/厂商方案</x:v>
      </x:c>
      <x:c r="X24" s="19" t="str">
        <x:v>不需要</x:v>
      </x:c>
      <x:c r="Y24" s="19" t="str">
        <x:v>内部CW激光</x:v>
      </x:c>
      <x:c r="Z24" s="19" t="str">
        <x:v>OSFP散热器</x:v>
      </x:c>
      <x:c r="AA24" s="19"/>
      <x:c r="AB24" s="19" t="str">
        <x:v>样品/导入</x:v>
      </x:c>
      <x:c r="AC24" s="20"/>
      <x:c r="AD24" s="19" t="str">
        <x:v>公开同口径ASP缺失</x:v>
      </x:c>
      <x:c r="AE24" s="19" t="str">
        <x:v>低</x:v>
      </x:c>
      <x:c r="AF24" s="19" t="str">
        <x:v>S09</x:v>
      </x:c>
      <x:c r="AG24" s="19" t="str">
        <x:v>需RFQ</x:v>
      </x:c>
      <x:c r="AH24" s="19" t="str">
        <x:v>LRO介于retimed与LPO之间，具体retimer边界按供应商实现</x:v>
      </x:c>
    </x:row>
    <x:row r="25" ht="15" hidden="0" customHeight="1">
      <x:c r="A25" s="19" t="str">
        <x:v>1600-O224-DR8-8E8O-EML</x:v>
      </x:c>
      <x:c r="B25" s="19" t="str">
        <x:v>1.6T</x:v>
      </x:c>
      <x:c r="C25" s="19" t="str">
        <x:v>1.6T-DR8 OSFP224</x:v>
      </x:c>
      <x:c r="D25" s="19" t="str">
        <x:v>InnoLight</x:v>
      </x:c>
      <x:c r="E25" s="19" t="str">
        <x:v>公开产品</x:v>
      </x:c>
      <x:c r="F25" s="19" t="str">
        <x:v>OSFP224</x:v>
      </x:c>
      <x:c r="G25" s="19" t="str">
        <x:v>8×200G</x:v>
      </x:c>
      <x:c r="H25" s="19" t="n">
        <x:v>8</x:v>
      </x:c>
      <x:c r="I25" s="19" t="n">
        <x:v>200</x:v>
      </x:c>
      <x:c r="J25" s="19" t="str">
        <x:v>PAM4</x:v>
      </x:c>
      <x:c r="K25" s="19" t="str">
        <x:v>8×200G</x:v>
      </x:c>
      <x:c r="L25" s="19" t="n">
        <x:v>8</x:v>
      </x:c>
      <x:c r="M25" s="19" t="n">
        <x:v>200</x:v>
      </x:c>
      <x:c r="N25" s="19" t="str">
        <x:v>8路并行</x:v>
      </x:c>
      <x:c r="O25" s="19" t="str">
        <x:v>DR8/500m</x:v>
      </x:c>
      <x:c r="P25" s="19" t="n">
        <x:v>500</x:v>
      </x:c>
      <x:c r="Q25" s="19" t="str">
        <x:v>PSM SMF</x:v>
      </x:c>
      <x:c r="R25" s="19" t="str">
        <x:v>1310nm并行</x:v>
      </x:c>
      <x:c r="S25" s="19" t="str">
        <x:v>未披露</x:v>
      </x:c>
      <x:c r="T25" s="19" t="str">
        <x:v>EML</x:v>
      </x:c>
      <x:c r="U25" s="19" t="str">
        <x:v>InGaAs PIN</x:v>
      </x:c>
      <x:c r="V25" s="19" t="str">
        <x:v>Retimed</x:v>
      </x:c>
      <x:c r="W25" s="19" t="str">
        <x:v>含DSP</x:v>
      </x:c>
      <x:c r="X25" s="19" t="str">
        <x:v>不需要</x:v>
      </x:c>
      <x:c r="Y25" s="19" t="str">
        <x:v>内部激光</x:v>
      </x:c>
      <x:c r="Z25" s="19" t="str">
        <x:v>OSFP散热器</x:v>
      </x:c>
      <x:c r="AA25" s="19"/>
      <x:c r="AB25" s="19" t="str">
        <x:v>导入/量产</x:v>
      </x:c>
      <x:c r="AC25" s="20" t="n">
        <x:v>520</x:v>
      </x:c>
      <x:c r="AD25" s="19" t="str">
        <x:v>LightCounting 1.6T DR8 ASP</x:v>
      </x:c>
      <x:c r="AE25" s="19" t="str">
        <x:v>中</x:v>
      </x:c>
      <x:c r="AF25" s="19" t="str">
        <x:v>S10;S16</x:v>
      </x:c>
      <x:c r="AG25" s="19" t="str">
        <x:v>连接器未披露</x:v>
      </x:c>
      <x:c r="AH25" s="19" t="str">
        <x:v>8×200G电侧和光侧，公开页未披露连接器</x:v>
      </x:c>
    </x:row>
    <x:row r="26" ht="24" hidden="0" customHeight="1">
      <x:c r="A26" s="19" t="str">
        <x:v>1600-O224-DR8-8E8O-SIPH</x:v>
      </x:c>
      <x:c r="B26" s="19" t="str">
        <x:v>1.6T</x:v>
      </x:c>
      <x:c r="C26" s="19" t="str">
        <x:v>1.6T-DR8 OSFP</x:v>
      </x:c>
      <x:c r="D26" s="19" t="str">
        <x:v>Coherent</x:v>
      </x:c>
      <x:c r="E26" s="19" t="str">
        <x:v>公开产品</x:v>
      </x:c>
      <x:c r="F26" s="19" t="str">
        <x:v>OSFP</x:v>
      </x:c>
      <x:c r="G26" s="19" t="str">
        <x:v>8×200G</x:v>
      </x:c>
      <x:c r="H26" s="19" t="n">
        <x:v>8</x:v>
      </x:c>
      <x:c r="I26" s="19" t="n">
        <x:v>200</x:v>
      </x:c>
      <x:c r="J26" s="19" t="str">
        <x:v>PAM4</x:v>
      </x:c>
      <x:c r="K26" s="19" t="str">
        <x:v>8×200G</x:v>
      </x:c>
      <x:c r="L26" s="19" t="n">
        <x:v>8</x:v>
      </x:c>
      <x:c r="M26" s="19" t="n">
        <x:v>200</x:v>
      </x:c>
      <x:c r="N26" s="19" t="str">
        <x:v>8路并行</x:v>
      </x:c>
      <x:c r="O26" s="19" t="str">
        <x:v>DR8/500m</x:v>
      </x:c>
      <x:c r="P26" s="19" t="n">
        <x:v>500</x:v>
      </x:c>
      <x:c r="Q26" s="19" t="str">
        <x:v>PSM SMF</x:v>
      </x:c>
      <x:c r="R26" s="19" t="str">
        <x:v>1310nm并行</x:v>
      </x:c>
      <x:c r="S26" s="19" t="str">
        <x:v>Dual MPO12</x:v>
      </x:c>
      <x:c r="T26" s="19" t="str">
        <x:v>CW laser+SiPh</x:v>
      </x:c>
      <x:c r="U26" s="19" t="str">
        <x:v>Ge/Si PIN</x:v>
      </x:c>
      <x:c r="V26" s="19" t="str">
        <x:v>Retimed</x:v>
      </x:c>
      <x:c r="W26" s="19" t="str">
        <x:v>含DSP</x:v>
      </x:c>
      <x:c r="X26" s="19" t="str">
        <x:v>不需要</x:v>
      </x:c>
      <x:c r="Y26" s="19" t="str">
        <x:v>内部CW激光</x:v>
      </x:c>
      <x:c r="Z26" s="19" t="str">
        <x:v>OSFP散热器</x:v>
      </x:c>
      <x:c r="AA26" s="19"/>
      <x:c r="AB26" s="19" t="str">
        <x:v>产品导入</x:v>
      </x:c>
      <x:c r="AC26" s="20" t="n">
        <x:v>520</x:v>
      </x:c>
      <x:c r="AD26" s="19" t="str">
        <x:v>LightCounting 1.6T DR8 ASP</x:v>
      </x:c>
      <x:c r="AE26" s="19" t="str">
        <x:v>中</x:v>
      </x:c>
      <x:c r="AF26" s="19" t="str">
        <x:v>S06;S11;S16</x:v>
      </x:c>
      <x:c r="AG26" s="19" t="str"/>
      <x:c r="AH26" s="19" t="str">
        <x:v>公开产品确认8×200G、500m、dual MPO12和SiPh路线</x:v>
      </x:c>
    </x:row>
    <x:row r="27" ht="24" hidden="0" customHeight="1">
      <x:c r="A27" s="19" t="str">
        <x:v>1600-O224-2DR4-8E8O-SIPH</x:v>
      </x:c>
      <x:c r="B27" s="19" t="str">
        <x:v>1.6T</x:v>
      </x:c>
      <x:c r="C27" s="19" t="str">
        <x:v>1.6T 2×DR4 SiPh+DSP</x:v>
      </x:c>
      <x:c r="D27" s="19" t="str">
        <x:v>Amphenol/Jabil</x:v>
      </x:c>
      <x:c r="E27" s="19" t="str">
        <x:v>公开产品手册</x:v>
      </x:c>
      <x:c r="F27" s="19" t="str">
        <x:v>OSFP224</x:v>
      </x:c>
      <x:c r="G27" s="19" t="str">
        <x:v>8×200G</x:v>
      </x:c>
      <x:c r="H27" s="19" t="n">
        <x:v>8</x:v>
      </x:c>
      <x:c r="I27" s="19" t="n">
        <x:v>200</x:v>
      </x:c>
      <x:c r="J27" s="19" t="str">
        <x:v>PAM4</x:v>
      </x:c>
      <x:c r="K27" s="19" t="str">
        <x:v>8×200G</x:v>
      </x:c>
      <x:c r="L27" s="19" t="n">
        <x:v>8</x:v>
      </x:c>
      <x:c r="M27" s="19" t="n">
        <x:v>200</x:v>
      </x:c>
      <x:c r="N27" s="19" t="str">
        <x:v>2组4路并行</x:v>
      </x:c>
      <x:c r="O27" s="19" t="str">
        <x:v>2×DR4/500m</x:v>
      </x:c>
      <x:c r="P27" s="19" t="n">
        <x:v>500</x:v>
      </x:c>
      <x:c r="Q27" s="19" t="str">
        <x:v>PSM SMF</x:v>
      </x:c>
      <x:c r="R27" s="19" t="str">
        <x:v>1310nm并行</x:v>
      </x:c>
      <x:c r="S27" s="19" t="str">
        <x:v>Dual MPO12</x:v>
      </x:c>
      <x:c r="T27" s="19" t="str">
        <x:v>CW laser+SiPh</x:v>
      </x:c>
      <x:c r="U27" s="19" t="str">
        <x:v>Ge/Si PIN</x:v>
      </x:c>
      <x:c r="V27" s="19" t="str">
        <x:v>Retimed</x:v>
      </x:c>
      <x:c r="W27" s="19" t="str">
        <x:v>含DSP</x:v>
      </x:c>
      <x:c r="X27" s="19" t="str">
        <x:v>不需要</x:v>
      </x:c>
      <x:c r="Y27" s="19" t="str">
        <x:v>内部CW激光</x:v>
      </x:c>
      <x:c r="Z27" s="19" t="str">
        <x:v>OSFP散热器</x:v>
      </x:c>
      <x:c r="AA27" s="19"/>
      <x:c r="AB27" s="19" t="str">
        <x:v>产品系列</x:v>
      </x:c>
      <x:c r="AC27" s="20" t="n">
        <x:v>520</x:v>
      </x:c>
      <x:c r="AD27" s="19" t="str">
        <x:v>以1.6T DR8 ASP为代理</x:v>
      </x:c>
      <x:c r="AE27" s="19" t="str">
        <x:v>低</x:v>
      </x:c>
      <x:c r="AF27" s="19" t="str">
        <x:v>S08;S12;S16</x:v>
      </x:c>
      <x:c r="AG27" s="19" t="str">
        <x:v>价格代理</x:v>
      </x:c>
      <x:c r="AH27" s="19" t="str">
        <x:v>双MPO结构便于2×800G breakout</x:v>
      </x:c>
    </x:row>
    <x:row r="28" ht="24" hidden="0" customHeight="1">
      <x:c r="A28" s="19" t="str">
        <x:v>1600-O224-2FR4-8E8O-SIPH</x:v>
      </x:c>
      <x:c r="B28" s="19" t="str">
        <x:v>1.6T</x:v>
      </x:c>
      <x:c r="C28" s="19" t="str">
        <x:v>1.6T 2×FR4 SiPh+DSP</x:v>
      </x:c>
      <x:c r="D28" s="19" t="str">
        <x:v>Amphenol/Jabil</x:v>
      </x:c>
      <x:c r="E28" s="19" t="str">
        <x:v>公开产品手册</x:v>
      </x:c>
      <x:c r="F28" s="19" t="str">
        <x:v>OSFP224</x:v>
      </x:c>
      <x:c r="G28" s="19" t="str">
        <x:v>8×200G</x:v>
      </x:c>
      <x:c r="H28" s="19" t="n">
        <x:v>8</x:v>
      </x:c>
      <x:c r="I28" s="19" t="n">
        <x:v>200</x:v>
      </x:c>
      <x:c r="J28" s="19" t="str">
        <x:v>PAM4</x:v>
      </x:c>
      <x:c r="K28" s="19" t="str">
        <x:v>8×200G</x:v>
      </x:c>
      <x:c r="L28" s="19" t="n">
        <x:v>8</x:v>
      </x:c>
      <x:c r="M28" s="19" t="n">
        <x:v>200</x:v>
      </x:c>
      <x:c r="N28" s="19" t="str">
        <x:v>2组4λ CWDM</x:v>
      </x:c>
      <x:c r="O28" s="19" t="str">
        <x:v>2×FR4/2km</x:v>
      </x:c>
      <x:c r="P28" s="19" t="n">
        <x:v>2000</x:v>
      </x:c>
      <x:c r="Q28" s="19" t="str">
        <x:v>SMF</x:v>
      </x:c>
      <x:c r="R28" s="19" t="str">
        <x:v>2组4λ CWDM</x:v>
      </x:c>
      <x:c r="S28" s="19" t="str">
        <x:v>Dual LC</x:v>
      </x:c>
      <x:c r="T28" s="19" t="str">
        <x:v>CW laser+SiPh</x:v>
      </x:c>
      <x:c r="U28" s="19" t="str">
        <x:v>Ge/Si PIN</x:v>
      </x:c>
      <x:c r="V28" s="19" t="str">
        <x:v>Retimed</x:v>
      </x:c>
      <x:c r="W28" s="19" t="str">
        <x:v>含DSP</x:v>
      </x:c>
      <x:c r="X28" s="19" t="str">
        <x:v>需要</x:v>
      </x:c>
      <x:c r="Y28" s="19" t="str">
        <x:v>内部CW激光</x:v>
      </x:c>
      <x:c r="Z28" s="19" t="str">
        <x:v>OSFP散热器</x:v>
      </x:c>
      <x:c r="AA28" s="19"/>
      <x:c r="AB28" s="19" t="str">
        <x:v>产品系列</x:v>
      </x:c>
      <x:c r="AC28" s="20" t="n">
        <x:v>560</x:v>
      </x:c>
      <x:c r="AD28" s="19" t="str">
        <x:v>以1.6T FR8 ASP为代理</x:v>
      </x:c>
      <x:c r="AE28" s="19" t="str">
        <x:v>低</x:v>
      </x:c>
      <x:c r="AF28" s="19" t="str">
        <x:v>S08;S12;S16</x:v>
      </x:c>
      <x:c r="AG28" s="19" t="str">
        <x:v>价格代理</x:v>
      </x:c>
      <x:c r="AH28" s="19" t="str">
        <x:v>双FR4结构需要两组MUX/DEMUX</x:v>
      </x:c>
    </x:row>
    <x:row r="29" ht="24" hidden="0" customHeight="1">
      <x:c r="A29" s="19" t="str">
        <x:v>1600-O224-DR8-LPO-SIPH</x:v>
      </x:c>
      <x:c r="B29" s="19" t="str">
        <x:v>1.6T</x:v>
      </x:c>
      <x:c r="C29" s="19" t="str">
        <x:v>1.6T DR8 LPO</x:v>
      </x:c>
      <x:c r="D29" s="19" t="str">
        <x:v>Amphenol</x:v>
      </x:c>
      <x:c r="E29" s="19" t="str">
        <x:v>公开产品系列</x:v>
      </x:c>
      <x:c r="F29" s="19" t="str">
        <x:v>OSFP224</x:v>
      </x:c>
      <x:c r="G29" s="19" t="str">
        <x:v>8×200G</x:v>
      </x:c>
      <x:c r="H29" s="19" t="n">
        <x:v>8</x:v>
      </x:c>
      <x:c r="I29" s="19" t="n">
        <x:v>200</x:v>
      </x:c>
      <x:c r="J29" s="19" t="str">
        <x:v>PAM4</x:v>
      </x:c>
      <x:c r="K29" s="19" t="str">
        <x:v>8×200G</x:v>
      </x:c>
      <x:c r="L29" s="19" t="n">
        <x:v>8</x:v>
      </x:c>
      <x:c r="M29" s="19" t="n">
        <x:v>200</x:v>
      </x:c>
      <x:c r="N29" s="19" t="str">
        <x:v>8路并行</x:v>
      </x:c>
      <x:c r="O29" s="19" t="str">
        <x:v>DR8/500m</x:v>
      </x:c>
      <x:c r="P29" s="19" t="n">
        <x:v>500</x:v>
      </x:c>
      <x:c r="Q29" s="19" t="str">
        <x:v>PSM SMF</x:v>
      </x:c>
      <x:c r="R29" s="19" t="str">
        <x:v>1310nm并行</x:v>
      </x:c>
      <x:c r="S29" s="19" t="str">
        <x:v>MPO16</x:v>
      </x:c>
      <x:c r="T29" s="19" t="str">
        <x:v>CW laser+SiPh</x:v>
      </x:c>
      <x:c r="U29" s="19" t="str">
        <x:v>Ge/Si PIN</x:v>
      </x:c>
      <x:c r="V29" s="19" t="str">
        <x:v>LPO</x:v>
      </x:c>
      <x:c r="W29" s="19" t="str">
        <x:v>无模块DSP</x:v>
      </x:c>
      <x:c r="X29" s="19" t="str">
        <x:v>不需要</x:v>
      </x:c>
      <x:c r="Y29" s="19" t="str">
        <x:v>内部CW激光</x:v>
      </x:c>
      <x:c r="Z29" s="19" t="str">
        <x:v>OSFP散热器</x:v>
      </x:c>
      <x:c r="AA29" s="19"/>
      <x:c r="AB29" s="19" t="str">
        <x:v>样品/导入</x:v>
      </x:c>
      <x:c r="AC29" s="20"/>
      <x:c r="AD29" s="19" t="str">
        <x:v>公开同口径ASP缺失</x:v>
      </x:c>
      <x:c r="AE29" s="19" t="str">
        <x:v>低</x:v>
      </x:c>
      <x:c r="AF29" s="19" t="str">
        <x:v>S09</x:v>
      </x:c>
      <x:c r="AG29" s="19" t="str">
        <x:v>需RFQ</x:v>
      </x:c>
      <x:c r="AH29" s="19" t="str">
        <x:v>成本和功耗受DSP移除影响，但链路系统协同要求上升</x:v>
      </x:c>
    </x:row>
    <x:row r="30" ht="15" hidden="0" customHeight="1">
      <x:c r="A30" s="19" t="str">
        <x:v>1600-O224-2DR4-LPO-SIPH</x:v>
      </x:c>
      <x:c r="B30" s="19" t="str">
        <x:v>1.6T</x:v>
      </x:c>
      <x:c r="C30" s="19" t="str">
        <x:v>1.6T 2×DR4 LPO</x:v>
      </x:c>
      <x:c r="D30" s="19" t="str">
        <x:v>Amphenol</x:v>
      </x:c>
      <x:c r="E30" s="19" t="str">
        <x:v>公开产品系列</x:v>
      </x:c>
      <x:c r="F30" s="19" t="str">
        <x:v>OSFP224</x:v>
      </x:c>
      <x:c r="G30" s="19" t="str">
        <x:v>8×200G</x:v>
      </x:c>
      <x:c r="H30" s="19" t="n">
        <x:v>8</x:v>
      </x:c>
      <x:c r="I30" s="19" t="n">
        <x:v>200</x:v>
      </x:c>
      <x:c r="J30" s="19" t="str">
        <x:v>PAM4</x:v>
      </x:c>
      <x:c r="K30" s="19" t="str">
        <x:v>8×200G</x:v>
      </x:c>
      <x:c r="L30" s="19" t="n">
        <x:v>8</x:v>
      </x:c>
      <x:c r="M30" s="19" t="n">
        <x:v>200</x:v>
      </x:c>
      <x:c r="N30" s="19" t="str">
        <x:v>2组4路并行</x:v>
      </x:c>
      <x:c r="O30" s="19" t="str">
        <x:v>2×DR4/500m</x:v>
      </x:c>
      <x:c r="P30" s="19" t="n">
        <x:v>500</x:v>
      </x:c>
      <x:c r="Q30" s="19" t="str">
        <x:v>PSM SMF</x:v>
      </x:c>
      <x:c r="R30" s="19" t="str">
        <x:v>1310nm并行</x:v>
      </x:c>
      <x:c r="S30" s="19" t="str">
        <x:v>Dual MPO12</x:v>
      </x:c>
      <x:c r="T30" s="19" t="str">
        <x:v>CW laser+SiPh</x:v>
      </x:c>
      <x:c r="U30" s="19" t="str">
        <x:v>Ge/Si PIN</x:v>
      </x:c>
      <x:c r="V30" s="19" t="str">
        <x:v>LPO</x:v>
      </x:c>
      <x:c r="W30" s="19" t="str">
        <x:v>无模块DSP</x:v>
      </x:c>
      <x:c r="X30" s="19" t="str">
        <x:v>不需要</x:v>
      </x:c>
      <x:c r="Y30" s="19" t="str">
        <x:v>内部CW激光</x:v>
      </x:c>
      <x:c r="Z30" s="19" t="str">
        <x:v>OSFP散热器</x:v>
      </x:c>
      <x:c r="AA30" s="19"/>
      <x:c r="AB30" s="19" t="str">
        <x:v>样品/导入</x:v>
      </x:c>
      <x:c r="AC30" s="20"/>
      <x:c r="AD30" s="19" t="str">
        <x:v>公开同口径ASP缺失</x:v>
      </x:c>
      <x:c r="AE30" s="19" t="str">
        <x:v>低</x:v>
      </x:c>
      <x:c r="AF30" s="19" t="str">
        <x:v>S09</x:v>
      </x:c>
      <x:c r="AG30" s="19" t="str">
        <x:v>需RFQ</x:v>
      </x:c>
      <x:c r="AH30" s="19" t="str">
        <x:v>以双端口形式支持2×800G breakout</x:v>
      </x:c>
    </x:row>
    <x:row r="31" ht="24" hidden="0" customHeight="1">
      <x:c r="A31" s="19" t="str">
        <x:v>1600-O224-DR8-RTLR</x:v>
      </x:c>
      <x:c r="B31" s="19" t="str">
        <x:v>1.6T</x:v>
      </x:c>
      <x:c r="C31" s="19" t="str">
        <x:v>1.6T DR8 RTLR</x:v>
      </x:c>
      <x:c r="D31" s="19" t="str">
        <x:v>Hisense/OIF interop</x:v>
      </x:c>
      <x:c r="E31" s="19" t="str">
        <x:v>互操作演示</x:v>
      </x:c>
      <x:c r="F31" s="19" t="str">
        <x:v>OSFP224</x:v>
      </x:c>
      <x:c r="G31" s="19" t="str">
        <x:v>8×200G</x:v>
      </x:c>
      <x:c r="H31" s="19" t="n">
        <x:v>8</x:v>
      </x:c>
      <x:c r="I31" s="19" t="n">
        <x:v>200</x:v>
      </x:c>
      <x:c r="J31" s="19" t="str">
        <x:v>PAM4</x:v>
      </x:c>
      <x:c r="K31" s="19" t="str">
        <x:v>8×200G</x:v>
      </x:c>
      <x:c r="L31" s="19" t="n">
        <x:v>8</x:v>
      </x:c>
      <x:c r="M31" s="19" t="n">
        <x:v>200</x:v>
      </x:c>
      <x:c r="N31" s="19" t="str">
        <x:v>8路并行</x:v>
      </x:c>
      <x:c r="O31" s="19" t="str">
        <x:v>DR8/500m</x:v>
      </x:c>
      <x:c r="P31" s="19" t="n">
        <x:v>500</x:v>
      </x:c>
      <x:c r="Q31" s="19" t="str">
        <x:v>PSM SMF</x:v>
      </x:c>
      <x:c r="R31" s="19" t="str">
        <x:v>1310nm并行</x:v>
      </x:c>
      <x:c r="S31" s="19" t="str">
        <x:v>MPO16/演示配置</x:v>
      </x:c>
      <x:c r="T31" s="19" t="str">
        <x:v>厂商未完整披露</x:v>
      </x:c>
      <x:c r="U31" s="19" t="str">
        <x:v>厂商未完整披露</x:v>
      </x:c>
      <x:c r="V31" s="19" t="str">
        <x:v>RTLR</x:v>
      </x:c>
      <x:c r="W31" s="19" t="str">
        <x:v>Tx/Rx retimer边界按实现</x:v>
      </x:c>
      <x:c r="X31" s="19" t="str">
        <x:v>不需要</x:v>
      </x:c>
      <x:c r="Y31" s="19" t="str">
        <x:v>内部激光</x:v>
      </x:c>
      <x:c r="Z31" s="19" t="str">
        <x:v>OSFP散热器</x:v>
      </x:c>
      <x:c r="AA31" s="19"/>
      <x:c r="AB31" s="19" t="str">
        <x:v>互操作演示</x:v>
      </x:c>
      <x:c r="AC31" s="20"/>
      <x:c r="AD31" s="19" t="str">
        <x:v>公开同口径ASP缺失</x:v>
      </x:c>
      <x:c r="AE31" s="19" t="str">
        <x:v>低</x:v>
      </x:c>
      <x:c r="AF31" s="19" t="str">
        <x:v>S13</x:v>
      </x:c>
      <x:c r="AG31" s="19" t="str">
        <x:v>需RFQ</x:v>
      </x:c>
      <x:c r="AH31" s="19" t="str">
        <x:v>CEI-224G生态验证，不能据此推定完整量产BOM</x:v>
      </x:c>
    </x:row>
    <x:row r="32" ht="24" hidden="0" customHeight="1">
      <x:c r="A32" s="19" t="str">
        <x:v>1600-O224-SR8-8E8O-VCSEL</x:v>
      </x:c>
      <x:c r="B32" s="19" t="str">
        <x:v>1.6T</x:v>
      </x:c>
      <x:c r="C32" s="19" t="str">
        <x:v>1.6T-SR8 VCSEL</x:v>
      </x:c>
      <x:c r="D32" s="19" t="str">
        <x:v>LightCounting行业模型</x:v>
      </x:c>
      <x:c r="E32" s="19" t="str">
        <x:v>行业预测</x:v>
      </x:c>
      <x:c r="F32" s="19" t="str">
        <x:v>OSFP224</x:v>
      </x:c>
      <x:c r="G32" s="19" t="str">
        <x:v>8×200G</x:v>
      </x:c>
      <x:c r="H32" s="19" t="n">
        <x:v>8</x:v>
      </x:c>
      <x:c r="I32" s="19" t="n">
        <x:v>200</x:v>
      </x:c>
      <x:c r="J32" s="19" t="str">
        <x:v>PAM4</x:v>
      </x:c>
      <x:c r="K32" s="19" t="str">
        <x:v>8×200G</x:v>
      </x:c>
      <x:c r="L32" s="19" t="n">
        <x:v>8</x:v>
      </x:c>
      <x:c r="M32" s="19" t="n">
        <x:v>200</x:v>
      </x:c>
      <x:c r="N32" s="19" t="str">
        <x:v>8路并行</x:v>
      </x:c>
      <x:c r="O32" s="19" t="str">
        <x:v>SR8/短距</x:v>
      </x:c>
      <x:c r="P32" s="19" t="n">
        <x:v>50</x:v>
      </x:c>
      <x:c r="Q32" s="19" t="str">
        <x:v>MMF</x:v>
      </x:c>
      <x:c r="R32" s="19" t="str">
        <x:v>850nm级</x:v>
      </x:c>
      <x:c r="S32" s="19" t="str">
        <x:v>MPO16/待标准</x:v>
      </x:c>
      <x:c r="T32" s="19" t="str">
        <x:v>VCSEL</x:v>
      </x:c>
      <x:c r="U32" s="19" t="str">
        <x:v>GaAs PIN Array</x:v>
      </x:c>
      <x:c r="V32" s="19" t="str">
        <x:v>Retimed</x:v>
      </x:c>
      <x:c r="W32" s="19" t="str">
        <x:v>含DSP</x:v>
      </x:c>
      <x:c r="X32" s="19" t="str">
        <x:v>不需要</x:v>
      </x:c>
      <x:c r="Y32" s="19" t="str">
        <x:v>内部激光</x:v>
      </x:c>
      <x:c r="Z32" s="19" t="str">
        <x:v>OSFP散热器</x:v>
      </x:c>
      <x:c r="AA32" s="19"/>
      <x:c r="AB32" s="19" t="str">
        <x:v>路线预测</x:v>
      </x:c>
      <x:c r="AC32" s="20" t="n">
        <x:v>480</x:v>
      </x:c>
      <x:c r="AD32" s="19" t="str">
        <x:v>LightCounting 1.6T SR8 ASP</x:v>
      </x:c>
      <x:c r="AE32" s="19" t="str">
        <x:v>低</x:v>
      </x:c>
      <x:c r="AF32" s="19" t="str">
        <x:v>S16</x:v>
      </x:c>
      <x:c r="AG32" s="19" t="str">
        <x:v>非特定量产SKU</x:v>
      </x:c>
      <x:c r="AH32" s="19" t="str">
        <x:v>行业预测行，不代表某厂商已量产</x:v>
      </x:c>
    </x:row>
    <x:row r="33" ht="15" hidden="0" customHeight="1">
      <x:c r="A33" s="19" t="str">
        <x:v>1600-O224-AOC-8E8O-SIPH</x:v>
      </x:c>
      <x:c r="B33" s="19" t="str">
        <x:v>1.6T</x:v>
      </x:c>
      <x:c r="C33" s="19" t="str">
        <x:v>1.6T AOC SiPh</x:v>
      </x:c>
      <x:c r="D33" s="19" t="str">
        <x:v>Amphenol</x:v>
      </x:c>
      <x:c r="E33" s="19" t="str">
        <x:v>公开产品系列</x:v>
      </x:c>
      <x:c r="F33" s="19" t="str">
        <x:v>OSFP224 AOC</x:v>
      </x:c>
      <x:c r="G33" s="19" t="str">
        <x:v>8×200G</x:v>
      </x:c>
      <x:c r="H33" s="19" t="n">
        <x:v>8</x:v>
      </x:c>
      <x:c r="I33" s="19" t="n">
        <x:v>200</x:v>
      </x:c>
      <x:c r="J33" s="19" t="str">
        <x:v>PAM4</x:v>
      </x:c>
      <x:c r="K33" s="19" t="str">
        <x:v>8×200G</x:v>
      </x:c>
      <x:c r="L33" s="19" t="n">
        <x:v>8</x:v>
      </x:c>
      <x:c r="M33" s="19" t="n">
        <x:v>200</x:v>
      </x:c>
      <x:c r="N33" s="19" t="str">
        <x:v>固定光缆</x:v>
      </x:c>
      <x:c r="O33" s="19" t="str">
        <x:v>AOC/短距</x:v>
      </x:c>
      <x:c r="P33" s="19" t="n">
        <x:v>100</x:v>
      </x:c>
      <x:c r="Q33" s="19" t="str">
        <x:v>SMF/MMF依方案</x:v>
      </x:c>
      <x:c r="R33" s="19" t="str">
        <x:v>并行</x:v>
      </x:c>
      <x:c r="S33" s="19" t="str">
        <x:v>固定尾纤</x:v>
      </x:c>
      <x:c r="T33" s="19" t="str">
        <x:v>SiPh optical engine</x:v>
      </x:c>
      <x:c r="U33" s="19" t="str">
        <x:v>Ge/Si PIN</x:v>
      </x:c>
      <x:c r="V33" s="19" t="str">
        <x:v>Retimed/厂商方案</x:v>
      </x:c>
      <x:c r="W33" s="19" t="str">
        <x:v>按产品实现</x:v>
      </x:c>
      <x:c r="X33" s="19" t="str">
        <x:v>不需要</x:v>
      </x:c>
      <x:c r="Y33" s="19" t="str">
        <x:v>内部激光</x:v>
      </x:c>
      <x:c r="Z33" s="19" t="str">
        <x:v>OSFP散热器</x:v>
      </x:c>
      <x:c r="AA33" s="19"/>
      <x:c r="AB33" s="19" t="str">
        <x:v>产品系列</x:v>
      </x:c>
      <x:c r="AC33" s="20"/>
      <x:c r="AD33" s="19" t="str">
        <x:v>公开同口径ASP缺失</x:v>
      </x:c>
      <x:c r="AE33" s="19" t="str">
        <x:v>低</x:v>
      </x:c>
      <x:c r="AF33" s="19" t="str">
        <x:v>S09</x:v>
      </x:c>
      <x:c r="AG33" s="19" t="str">
        <x:v>需RFQ</x:v>
      </x:c>
      <x:c r="AH33" s="19" t="str">
        <x:v>连接器和光缆成为一体化组件</x:v>
      </x:c>
    </x:row>
    <x:row r="34" ht="24" hidden="0" customHeight="1">
      <x:c r="A34" s="19" t="str">
        <x:v>3200-CPO-8DR4-INT</x:v>
      </x:c>
      <x:c r="B34" s="19" t="str">
        <x:v>3.2T</x:v>
      </x:c>
      <x:c r="C34" s="19" t="str">
        <x:v>3.2T CPO 8×400G-DR4 Internal Laser</x:v>
      </x:c>
      <x:c r="D34" s="19" t="str">
        <x:v>OIF</x:v>
      </x:c>
      <x:c r="E34" s="19" t="str">
        <x:v>正式IA</x:v>
      </x:c>
      <x:c r="F34" s="19" t="str">
        <x:v>CPO Module</x:v>
      </x:c>
      <x:c r="G34" s="19" t="str">
        <x:v>32×112G XSR</x:v>
      </x:c>
      <x:c r="H34" s="19" t="n">
        <x:v>32</x:v>
      </x:c>
      <x:c r="I34" s="19" t="n">
        <x:v>106.25</x:v>
      </x:c>
      <x:c r="J34" s="19" t="str">
        <x:v>CEI-112G-XSR PAM4</x:v>
      </x:c>
      <x:c r="K34" s="19" t="str">
        <x:v>32×100G</x:v>
      </x:c>
      <x:c r="L34" s="19" t="n">
        <x:v>32</x:v>
      </x:c>
      <x:c r="M34" s="19" t="n">
        <x:v>100</x:v>
      </x:c>
      <x:c r="N34" s="19" t="str">
        <x:v>8端口×4路并行</x:v>
      </x:c>
      <x:c r="O34" s="19" t="str">
        <x:v>8×400G-DR4</x:v>
      </x:c>
      <x:c r="P34" s="19" t="n">
        <x:v>500</x:v>
      </x:c>
      <x:c r="Q34" s="19" t="str">
        <x:v>PSM SMF</x:v>
      </x:c>
      <x:c r="R34" s="19" t="str">
        <x:v>1310nm并行</x:v>
      </x:c>
      <x:c r="S34" s="19" t="str">
        <x:v>IA未规定线路侧连接器；32 Tx/Rx fiber pairs</x:v>
      </x:c>
      <x:c r="T34" s="19" t="str">
        <x:v>内部CW laser+SiPh</x:v>
      </x:c>
      <x:c r="U34" s="19" t="str">
        <x:v>PIN/GeSi</x:v>
      </x:c>
      <x:c r="V34" s="19" t="str">
        <x:v>CPO</x:v>
      </x:c>
      <x:c r="W34" s="19" t="str">
        <x:v>含DSP、Driver、TIA</x:v>
      </x:c>
      <x:c r="X34" s="19" t="str">
        <x:v>不需要</x:v>
      </x:c>
      <x:c r="Y34" s="19" t="str">
        <x:v>内部激光</x:v>
      </x:c>
      <x:c r="Z34" s="19" t="str">
        <x:v>共封装冷板/系统散热</x:v>
      </x:c>
      <x:c r="AA34" s="19" t="n">
        <x:v>56</x:v>
      </x:c>
      <x:c r="AB34" s="19" t="str">
        <x:v>标准化架构</x:v>
      </x:c>
      <x:c r="AC34" s="20"/>
      <x:c r="AD34" s="19" t="str">
        <x:v>无公开可比模块ASP</x:v>
      </x:c>
      <x:c r="AE34" s="19" t="str">
        <x:v>低</x:v>
      </x:c>
      <x:c r="AF34" s="19" t="str">
        <x:v>S14</x:v>
      </x:c>
      <x:c r="AG34" s="19" t="str">
        <x:v>不可与可插拔ASP直接比较</x:v>
      </x:c>
      <x:c r="AH34" s="19" t="str">
        <x:v>32×106.25Gb/s电信号，归入112G XSR接口等级；56W为OIF规定最大功耗</x:v>
      </x:c>
    </x:row>
    <x:row r="35" ht="24" hidden="0" customHeight="1">
      <x:c r="A35" s="19" t="str">
        <x:v>3200-CPO-8DR4-EXT-8PMF</x:v>
      </x:c>
      <x:c r="B35" s="19" t="str">
        <x:v>3.2T</x:v>
      </x:c>
      <x:c r="C35" s="19" t="str">
        <x:v>3.2T CPO 8×400G-DR4 External Laser 8PMF</x:v>
      </x:c>
      <x:c r="D35" s="19" t="str">
        <x:v>OIF</x:v>
      </x:c>
      <x:c r="E35" s="19" t="str">
        <x:v>正式IA</x:v>
      </x:c>
      <x:c r="F35" s="19" t="str">
        <x:v>CPO Module</x:v>
      </x:c>
      <x:c r="G35" s="19" t="str">
        <x:v>32×112G XSR</x:v>
      </x:c>
      <x:c r="H35" s="19" t="n">
        <x:v>32</x:v>
      </x:c>
      <x:c r="I35" s="19" t="n">
        <x:v>106.25</x:v>
      </x:c>
      <x:c r="J35" s="19" t="str">
        <x:v>CEI-112G-XSR PAM4</x:v>
      </x:c>
      <x:c r="K35" s="19" t="str">
        <x:v>32×100G</x:v>
      </x:c>
      <x:c r="L35" s="19" t="n">
        <x:v>32</x:v>
      </x:c>
      <x:c r="M35" s="19" t="n">
        <x:v>100</x:v>
      </x:c>
      <x:c r="N35" s="19" t="str">
        <x:v>8端口×4路并行</x:v>
      </x:c>
      <x:c r="O35" s="19" t="str">
        <x:v>8×400G-DR4</x:v>
      </x:c>
      <x:c r="P35" s="19" t="n">
        <x:v>500</x:v>
      </x:c>
      <x:c r="Q35" s="19" t="str">
        <x:v>PSM SMF</x:v>
      </x:c>
      <x:c r="R35" s="19" t="str">
        <x:v>1310nm并行</x:v>
      </x:c>
      <x:c r="S35" s="19" t="str">
        <x:v>IA未规定线路侧连接器；ELS输入8 PM fibers</x:v>
      </x:c>
      <x:c r="T35" s="19" t="str">
        <x:v>ELSFP+SiPh</x:v>
      </x:c>
      <x:c r="U35" s="19" t="str">
        <x:v>PIN/GeSi</x:v>
      </x:c>
      <x:c r="V35" s="19" t="str">
        <x:v>CPO</x:v>
      </x:c>
      <x:c r="W35" s="19" t="str">
        <x:v>含DSP、Driver、TIA</x:v>
      </x:c>
      <x:c r="X35" s="19" t="str">
        <x:v>不需要</x:v>
      </x:c>
      <x:c r="Y35" s="19" t="str">
        <x:v>外置激光/8 PMF</x:v>
      </x:c>
      <x:c r="Z35" s="19" t="str">
        <x:v>共封装冷板/系统散热</x:v>
      </x:c>
      <x:c r="AA35" s="19" t="n">
        <x:v>48</x:v>
      </x:c>
      <x:c r="AB35" s="19" t="str">
        <x:v>标准化架构</x:v>
      </x:c>
      <x:c r="AC35" s="20"/>
      <x:c r="AD35" s="19" t="str">
        <x:v>无公开可比模块ASP</x:v>
      </x:c>
      <x:c r="AE35" s="19" t="str">
        <x:v>低</x:v>
      </x:c>
      <x:c r="AF35" s="19" t="str">
        <x:v>S14</x:v>
      </x:c>
      <x:c r="AG35" s="19" t="str">
        <x:v>不可与可插拔ASP直接比较</x:v>
      </x:c>
      <x:c r="AH35" s="19" t="str">
        <x:v>外置激光由8根PMF供光；48W为不含集成激光时OIF规定最大功耗</x:v>
      </x:c>
    </x:row>
    <x:row r="36" ht="24" hidden="0" customHeight="1">
      <x:c r="A36" s="19" t="str">
        <x:v>3200-CPO-8DR4-EXT-4PMF</x:v>
      </x:c>
      <x:c r="B36" s="19" t="str">
        <x:v>3.2T</x:v>
      </x:c>
      <x:c r="C36" s="19" t="str">
        <x:v>3.2T CPO 8×400G-DR4 External Laser 4PMF</x:v>
      </x:c>
      <x:c r="D36" s="19" t="str">
        <x:v>OIF</x:v>
      </x:c>
      <x:c r="E36" s="19" t="str">
        <x:v>正式IA</x:v>
      </x:c>
      <x:c r="F36" s="19" t="str">
        <x:v>CPO Module</x:v>
      </x:c>
      <x:c r="G36" s="19" t="str">
        <x:v>32×112G XSR</x:v>
      </x:c>
      <x:c r="H36" s="19" t="n">
        <x:v>32</x:v>
      </x:c>
      <x:c r="I36" s="19" t="n">
        <x:v>106.25</x:v>
      </x:c>
      <x:c r="J36" s="19" t="str">
        <x:v>CEI-112G-XSR PAM4</x:v>
      </x:c>
      <x:c r="K36" s="19" t="str">
        <x:v>32×100G</x:v>
      </x:c>
      <x:c r="L36" s="19" t="n">
        <x:v>32</x:v>
      </x:c>
      <x:c r="M36" s="19" t="n">
        <x:v>100</x:v>
      </x:c>
      <x:c r="N36" s="19" t="str">
        <x:v>8端口×4路并行</x:v>
      </x:c>
      <x:c r="O36" s="19" t="str">
        <x:v>8×400G-DR4</x:v>
      </x:c>
      <x:c r="P36" s="19" t="n">
        <x:v>500</x:v>
      </x:c>
      <x:c r="Q36" s="19" t="str">
        <x:v>PSM SMF</x:v>
      </x:c>
      <x:c r="R36" s="19" t="str">
        <x:v>1310nm并行</x:v>
      </x:c>
      <x:c r="S36" s="19" t="str">
        <x:v>IA未规定线路侧连接器；ELS输入4 PM fibers</x:v>
      </x:c>
      <x:c r="T36" s="19" t="str">
        <x:v>ELSFP+SiPh</x:v>
      </x:c>
      <x:c r="U36" s="19" t="str">
        <x:v>PIN/GeSi</x:v>
      </x:c>
      <x:c r="V36" s="19" t="str">
        <x:v>CPO</x:v>
      </x:c>
      <x:c r="W36" s="19" t="str">
        <x:v>含DSP、Driver、TIA</x:v>
      </x:c>
      <x:c r="X36" s="19" t="str">
        <x:v>不需要</x:v>
      </x:c>
      <x:c r="Y36" s="19" t="str">
        <x:v>外置激光/4 PMF</x:v>
      </x:c>
      <x:c r="Z36" s="19" t="str">
        <x:v>共封装冷板/系统散热</x:v>
      </x:c>
      <x:c r="AA36" s="19" t="n">
        <x:v>48</x:v>
      </x:c>
      <x:c r="AB36" s="19" t="str">
        <x:v>标准化架构</x:v>
      </x:c>
      <x:c r="AC36" s="20"/>
      <x:c r="AD36" s="19" t="str">
        <x:v>无公开可比模块ASP</x:v>
      </x:c>
      <x:c r="AE36" s="19" t="str">
        <x:v>低</x:v>
      </x:c>
      <x:c r="AF36" s="19" t="str">
        <x:v>S14</x:v>
      </x:c>
      <x:c r="AG36" s="19" t="str">
        <x:v>不可与可插拔ASP直接比较</x:v>
      </x:c>
      <x:c r="AH36" s="19" t="str">
        <x:v>外置激光由4根PMF供光并进一步分光；48W为不含集成激光时OIF规定最大功耗</x:v>
      </x:c>
    </x:row>
    <x:row r="37" ht="24" hidden="0" customHeight="1">
      <x:c r="A37" s="19" t="str">
        <x:v>3200-CPO-8FR4-INT</x:v>
      </x:c>
      <x:c r="B37" s="19" t="str">
        <x:v>3.2T</x:v>
      </x:c>
      <x:c r="C37" s="19" t="str">
        <x:v>3.2T CPO 8×400G-FR4 Internal Laser</x:v>
      </x:c>
      <x:c r="D37" s="19" t="str">
        <x:v>OIF</x:v>
      </x:c>
      <x:c r="E37" s="19" t="str">
        <x:v>正式IA</x:v>
      </x:c>
      <x:c r="F37" s="19" t="str">
        <x:v>CPO Module</x:v>
      </x:c>
      <x:c r="G37" s="19" t="str">
        <x:v>32×112G XSR</x:v>
      </x:c>
      <x:c r="H37" s="19" t="n">
        <x:v>32</x:v>
      </x:c>
      <x:c r="I37" s="19" t="n">
        <x:v>106.25</x:v>
      </x:c>
      <x:c r="J37" s="19" t="str">
        <x:v>CEI-112G-XSR PAM4</x:v>
      </x:c>
      <x:c r="K37" s="19" t="str">
        <x:v>32×100G</x:v>
      </x:c>
      <x:c r="L37" s="19" t="n">
        <x:v>32</x:v>
      </x:c>
      <x:c r="M37" s="19" t="n">
        <x:v>100</x:v>
      </x:c>
      <x:c r="N37" s="19" t="str">
        <x:v>8端口×4λ CWDM</x:v>
      </x:c>
      <x:c r="O37" s="19" t="str">
        <x:v>8×400G-FR4</x:v>
      </x:c>
      <x:c r="P37" s="19" t="n">
        <x:v>2000</x:v>
      </x:c>
      <x:c r="Q37" s="19" t="str">
        <x:v>SMF</x:v>
      </x:c>
      <x:c r="R37" s="19" t="str">
        <x:v>8组4λ CWDM</x:v>
      </x:c>
      <x:c r="S37" s="19" t="str">
        <x:v>IA未规定线路侧连接器；8 Tx/Rx fiber pairs</x:v>
      </x:c>
      <x:c r="T37" s="19" t="str">
        <x:v>内部CW laser+SiPh</x:v>
      </x:c>
      <x:c r="U37" s="19" t="str">
        <x:v>PIN/GeSi</x:v>
      </x:c>
      <x:c r="V37" s="19" t="str">
        <x:v>CPO</x:v>
      </x:c>
      <x:c r="W37" s="19" t="str">
        <x:v>含DSP、Driver、TIA</x:v>
      </x:c>
      <x:c r="X37" s="19" t="str">
        <x:v>需要</x:v>
      </x:c>
      <x:c r="Y37" s="19" t="str">
        <x:v>内部激光</x:v>
      </x:c>
      <x:c r="Z37" s="19" t="str">
        <x:v>共封装冷板/系统散热</x:v>
      </x:c>
      <x:c r="AA37" s="19" t="n">
        <x:v>56</x:v>
      </x:c>
      <x:c r="AB37" s="19" t="str">
        <x:v>标准化架构</x:v>
      </x:c>
      <x:c r="AC37" s="20"/>
      <x:c r="AD37" s="19" t="str">
        <x:v>无公开可比模块ASP</x:v>
      </x:c>
      <x:c r="AE37" s="19" t="str">
        <x:v>低</x:v>
      </x:c>
      <x:c r="AF37" s="19" t="str">
        <x:v>S14</x:v>
      </x:c>
      <x:c r="AG37" s="19" t="str">
        <x:v>不可与可插拔ASP直接比较</x:v>
      </x:c>
      <x:c r="AH37" s="19" t="str">
        <x:v>FR4增加8组MUX/DEMUX；32×106.25Gb/s电信号；56W为OIF规定最大功耗</x:v>
      </x:c>
    </x:row>
    <x:row r="38" ht="24" hidden="0" customHeight="1">
      <x:c r="A38" s="19" t="str">
        <x:v>3200-CPO-8FR4-EXT-8PMF</x:v>
      </x:c>
      <x:c r="B38" s="19" t="str">
        <x:v>3.2T</x:v>
      </x:c>
      <x:c r="C38" s="19" t="str">
        <x:v>3.2T CPO 8×400G-FR4 External Laser 8PMF</x:v>
      </x:c>
      <x:c r="D38" s="19" t="str">
        <x:v>OIF</x:v>
      </x:c>
      <x:c r="E38" s="19" t="str">
        <x:v>正式IA</x:v>
      </x:c>
      <x:c r="F38" s="19" t="str">
        <x:v>CPO Module</x:v>
      </x:c>
      <x:c r="G38" s="19" t="str">
        <x:v>32×112G XSR</x:v>
      </x:c>
      <x:c r="H38" s="19" t="n">
        <x:v>32</x:v>
      </x:c>
      <x:c r="I38" s="19" t="n">
        <x:v>106.25</x:v>
      </x:c>
      <x:c r="J38" s="19" t="str">
        <x:v>CEI-112G-XSR PAM4</x:v>
      </x:c>
      <x:c r="K38" s="19" t="str">
        <x:v>32×100G</x:v>
      </x:c>
      <x:c r="L38" s="19" t="n">
        <x:v>32</x:v>
      </x:c>
      <x:c r="M38" s="19" t="n">
        <x:v>100</x:v>
      </x:c>
      <x:c r="N38" s="19" t="str">
        <x:v>8端口×4λ CWDM</x:v>
      </x:c>
      <x:c r="O38" s="19" t="str">
        <x:v>8×400G-FR4</x:v>
      </x:c>
      <x:c r="P38" s="19" t="n">
        <x:v>2000</x:v>
      </x:c>
      <x:c r="Q38" s="19" t="str">
        <x:v>SMF</x:v>
      </x:c>
      <x:c r="R38" s="19" t="str">
        <x:v>8组4λ CWDM</x:v>
      </x:c>
      <x:c r="S38" s="19" t="str">
        <x:v>IA未规定线路侧连接器；ELS输入8 PM fibers</x:v>
      </x:c>
      <x:c r="T38" s="19" t="str">
        <x:v>ELSFP+SiPh</x:v>
      </x:c>
      <x:c r="U38" s="19" t="str">
        <x:v>PIN/GeSi</x:v>
      </x:c>
      <x:c r="V38" s="19" t="str">
        <x:v>CPO</x:v>
      </x:c>
      <x:c r="W38" s="19" t="str">
        <x:v>含DSP、Driver、TIA</x:v>
      </x:c>
      <x:c r="X38" s="19" t="str">
        <x:v>需要</x:v>
      </x:c>
      <x:c r="Y38" s="19" t="str">
        <x:v>外置激光/8 PMF</x:v>
      </x:c>
      <x:c r="Z38" s="19" t="str">
        <x:v>共封装冷板/系统散热</x:v>
      </x:c>
      <x:c r="AA38" s="19" t="n">
        <x:v>48</x:v>
      </x:c>
      <x:c r="AB38" s="19" t="str">
        <x:v>标准化架构</x:v>
      </x:c>
      <x:c r="AC38" s="20"/>
      <x:c r="AD38" s="19" t="str">
        <x:v>无公开可比模块ASP</x:v>
      </x:c>
      <x:c r="AE38" s="19" t="str">
        <x:v>低</x:v>
      </x:c>
      <x:c r="AF38" s="19" t="str">
        <x:v>S14</x:v>
      </x:c>
      <x:c r="AG38" s="19" t="str">
        <x:v>不可与可插拔ASP直接比较</x:v>
      </x:c>
      <x:c r="AH38" s="19" t="str">
        <x:v>外置激光由8根PMF供光，同时需要8组MUX/DEMUX；48W为OIF规定最大功耗</x:v>
      </x:c>
    </x:row>
    <x:row r="39" ht="36" hidden="0" customHeight="1">
      <x:c r="A39" s="19" t="str">
        <x:v>3200-CPO-8FR4-EXT-4PMF</x:v>
      </x:c>
      <x:c r="B39" s="19" t="str">
        <x:v>3.2T</x:v>
      </x:c>
      <x:c r="C39" s="19" t="str">
        <x:v>3.2T CPO 8×400G-FR4 External Laser 4PMF</x:v>
      </x:c>
      <x:c r="D39" s="19" t="str">
        <x:v>OIF</x:v>
      </x:c>
      <x:c r="E39" s="19" t="str">
        <x:v>正式IA</x:v>
      </x:c>
      <x:c r="F39" s="19" t="str">
        <x:v>CPO Module</x:v>
      </x:c>
      <x:c r="G39" s="19" t="str">
        <x:v>32×112G XSR</x:v>
      </x:c>
      <x:c r="H39" s="19" t="n">
        <x:v>32</x:v>
      </x:c>
      <x:c r="I39" s="19" t="n">
        <x:v>106.25</x:v>
      </x:c>
      <x:c r="J39" s="19" t="str">
        <x:v>CEI-112G-XSR PAM4</x:v>
      </x:c>
      <x:c r="K39" s="19" t="str">
        <x:v>32×100G</x:v>
      </x:c>
      <x:c r="L39" s="19" t="n">
        <x:v>32</x:v>
      </x:c>
      <x:c r="M39" s="19" t="n">
        <x:v>100</x:v>
      </x:c>
      <x:c r="N39" s="19" t="str">
        <x:v>8端口×4λ CWDM</x:v>
      </x:c>
      <x:c r="O39" s="19" t="str">
        <x:v>8×400G-FR4</x:v>
      </x:c>
      <x:c r="P39" s="19" t="n">
        <x:v>2000</x:v>
      </x:c>
      <x:c r="Q39" s="19" t="str">
        <x:v>SMF</x:v>
      </x:c>
      <x:c r="R39" s="19" t="str">
        <x:v>8组4λ CWDM</x:v>
      </x:c>
      <x:c r="S39" s="19" t="str">
        <x:v>IA未规定线路侧连接器；ELS输入4 PM fibers</x:v>
      </x:c>
      <x:c r="T39" s="19" t="str">
        <x:v>ELSFP+SiPh</x:v>
      </x:c>
      <x:c r="U39" s="19" t="str">
        <x:v>PIN/GeSi</x:v>
      </x:c>
      <x:c r="V39" s="19" t="str">
        <x:v>CPO</x:v>
      </x:c>
      <x:c r="W39" s="19" t="str">
        <x:v>含DSP、Driver、TIA</x:v>
      </x:c>
      <x:c r="X39" s="19" t="str">
        <x:v>需要</x:v>
      </x:c>
      <x:c r="Y39" s="19" t="str">
        <x:v>外置激光/4 PMF</x:v>
      </x:c>
      <x:c r="Z39" s="19" t="str">
        <x:v>共封装冷板/系统散热</x:v>
      </x:c>
      <x:c r="AA39" s="19" t="n">
        <x:v>48</x:v>
      </x:c>
      <x:c r="AB39" s="19" t="str">
        <x:v>标准化架构</x:v>
      </x:c>
      <x:c r="AC39" s="20"/>
      <x:c r="AD39" s="19" t="str">
        <x:v>无公开可比模块ASP</x:v>
      </x:c>
      <x:c r="AE39" s="19" t="str">
        <x:v>低</x:v>
      </x:c>
      <x:c r="AF39" s="19" t="str">
        <x:v>S14</x:v>
      </x:c>
      <x:c r="AG39" s="19" t="str">
        <x:v>不可与可插拔ASP直接比较</x:v>
      </x:c>
      <x:c r="AH39" s="19" t="str">
        <x:v>外置激光由4根PMF供光并进一步分光，同时需要8组MUX/DEMUX；48W为OIF规定最大功耗</x:v>
      </x:c>
    </x:row>
    <x:row r="40" ht="36" hidden="0" customHeight="1">
      <x:c r="A40" s="19" t="str">
        <x:v>3200-OSFPXD-DR-RETIMED</x:v>
      </x:c>
      <x:c r="B40" s="19" t="str">
        <x:v>3.2T</x:v>
      </x:c>
      <x:c r="C40" s="19" t="str">
        <x:v>3.2T OSFP-XD Retimed DR roadmap</x:v>
      </x:c>
      <x:c r="D40" s="19" t="str">
        <x:v>OSFP MSA/LightCounting</x:v>
      </x:c>
      <x:c r="E40" s="19" t="str">
        <x:v>形态能力+行业预测</x:v>
      </x:c>
      <x:c r="F40" s="19" t="str">
        <x:v>OSFP-XD</x:v>
      </x:c>
      <x:c r="G40" s="19" t="str">
        <x:v>TBD</x:v>
      </x:c>
      <x:c r="H40" s="19"/>
      <x:c r="I40" s="19"/>
      <x:c r="J40" s="19" t="str">
        <x:v>待标准/供应商定义</x:v>
      </x:c>
      <x:c r="K40" s="19" t="str">
        <x:v>TBD</x:v>
      </x:c>
      <x:c r="L40" s="19"/>
      <x:c r="M40" s="19"/>
      <x:c r="N40" s="19" t="str">
        <x:v>DR类并行，待标准</x:v>
      </x:c>
      <x:c r="O40" s="19" t="str">
        <x:v>DR roadmap</x:v>
      </x:c>
      <x:c r="P40" s="19" t="n">
        <x:v>500</x:v>
      </x:c>
      <x:c r="Q40" s="19" t="str">
        <x:v>SMF</x:v>
      </x:c>
      <x:c r="R40" s="19" t="str">
        <x:v>待标准</x:v>
      </x:c>
      <x:c r="S40" s="19" t="str">
        <x:v>待标准</x:v>
      </x:c>
      <x:c r="T40" s="19" t="str">
        <x:v>待标准</x:v>
      </x:c>
      <x:c r="U40" s="19" t="str">
        <x:v>待标准</x:v>
      </x:c>
      <x:c r="V40" s="19" t="str">
        <x:v>Retimed</x:v>
      </x:c>
      <x:c r="W40" s="19" t="str">
        <x:v>预计含DSP</x:v>
      </x:c>
      <x:c r="X40" s="19" t="str">
        <x:v>预计不需要</x:v>
      </x:c>
      <x:c r="Y40" s="19" t="str">
        <x:v>内部/待定义</x:v>
      </x:c>
      <x:c r="Z40" s="19" t="str">
        <x:v>高功耗形态</x:v>
      </x:c>
      <x:c r="AA40" s="19"/>
      <x:c r="AB40" s="19" t="str">
        <x:v>Roadmap</x:v>
      </x:c>
      <x:c r="AC40" s="20" t="n">
        <x:v>1350</x:v>
      </x:c>
      <x:c r="AD40" s="19" t="str">
        <x:v>LightCounting 3.2T Retimed Pluggable预测</x:v>
      </x:c>
      <x:c r="AE40" s="19" t="str">
        <x:v>低</x:v>
      </x:c>
      <x:c r="AF40" s="19" t="str">
        <x:v>S15;S16</x:v>
      </x:c>
      <x:c r="AG40" s="19" t="str">
        <x:v>通道规格未锁定</x:v>
      </x:c>
      <x:c r="AH40" s="19" t="str">
        <x:v>只确认OSFP-XD具备3.2T形态能力；不采用MSA FAQ中的疑似算术矛盾作为通道证据</x:v>
      </x:c>
    </x:row>
    <x:row r="41" ht="24" hidden="0" customHeight="1">
      <x:c r="A41" s="19" t="str">
        <x:v>3200-OSFPXD-FR-RETIMED</x:v>
      </x:c>
      <x:c r="B41" s="19" t="str">
        <x:v>3.2T</x:v>
      </x:c>
      <x:c r="C41" s="19" t="str">
        <x:v>3.2T OSFP-XD Retimed FR roadmap</x:v>
      </x:c>
      <x:c r="D41" s="19" t="str">
        <x:v>OSFP MSA/LightCounting</x:v>
      </x:c>
      <x:c r="E41" s="19" t="str">
        <x:v>形态能力+行业预测</x:v>
      </x:c>
      <x:c r="F41" s="19" t="str">
        <x:v>OSFP-XD</x:v>
      </x:c>
      <x:c r="G41" s="19" t="str">
        <x:v>TBD</x:v>
      </x:c>
      <x:c r="H41" s="19"/>
      <x:c r="I41" s="19"/>
      <x:c r="J41" s="19" t="str">
        <x:v>待标准/供应商定义</x:v>
      </x:c>
      <x:c r="K41" s="19" t="str">
        <x:v>TBD</x:v>
      </x:c>
      <x:c r="L41" s="19"/>
      <x:c r="M41" s="19"/>
      <x:c r="N41" s="19" t="str">
        <x:v>FR类WDM，待标准</x:v>
      </x:c>
      <x:c r="O41" s="19" t="str">
        <x:v>FR roadmap</x:v>
      </x:c>
      <x:c r="P41" s="19" t="n">
        <x:v>2000</x:v>
      </x:c>
      <x:c r="Q41" s="19" t="str">
        <x:v>SMF</x:v>
      </x:c>
      <x:c r="R41" s="19" t="str">
        <x:v>待标准</x:v>
      </x:c>
      <x:c r="S41" s="19" t="str">
        <x:v>待标准</x:v>
      </x:c>
      <x:c r="T41" s="19" t="str">
        <x:v>待标准</x:v>
      </x:c>
      <x:c r="U41" s="19" t="str">
        <x:v>待标准</x:v>
      </x:c>
      <x:c r="V41" s="19" t="str">
        <x:v>Retimed</x:v>
      </x:c>
      <x:c r="W41" s="19" t="str">
        <x:v>预计含DSP</x:v>
      </x:c>
      <x:c r="X41" s="19" t="str">
        <x:v>预计需要</x:v>
      </x:c>
      <x:c r="Y41" s="19" t="str">
        <x:v>内部/待定义</x:v>
      </x:c>
      <x:c r="Z41" s="19" t="str">
        <x:v>高功耗形态</x:v>
      </x:c>
      <x:c r="AA41" s="19"/>
      <x:c r="AB41" s="19" t="str">
        <x:v>Roadmap</x:v>
      </x:c>
      <x:c r="AC41" s="20" t="n">
        <x:v>1400</x:v>
      </x:c>
      <x:c r="AD41" s="19" t="str">
        <x:v>LightCounting 3.2T Retimed Pluggable预测</x:v>
      </x:c>
      <x:c r="AE41" s="19" t="str">
        <x:v>低</x:v>
      </x:c>
      <x:c r="AF41" s="19" t="str">
        <x:v>S15;S16</x:v>
      </x:c>
      <x:c r="AG41" s="19" t="str">
        <x:v>通道规格未锁定</x:v>
      </x:c>
      <x:c r="AH41" s="19" t="str">
        <x:v>价格只适用于retimed pluggable预测，不能映射到CPO</x:v>
      </x:c>
    </x:row>
  </x:sheetData>
  <x:mergeCells>
    <x:mergeCell ref="A1:AH1"/>
    <x:mergeCell ref="A2:AH2"/>
  </x:mergeCells>
  <x:conditionalFormatting sqref="AG5:AG41">
    <x:cfRule type="notContainsBlanks" dxfId="0" priority="1"/>
  </x:conditionalFormatting>
  <x:pageMargins left="0.7" right="0.7" top="0.75" bottom="0.75" header="0.3" footer="0.3"/>
  <x:tableParts count="1">
    <x:tablePart xmlns:r="http://schemas.openxmlformats.org/officeDocument/2006/relationships" r:id="R820c38b0fc6b49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20000267028809" hidden="0" customWidth="1"/>
    <x:col min="2" max="2" width="5" hidden="0" customWidth="1"/>
    <x:col min="3" max="3" width="23.670000076293945" hidden="0" customWidth="1"/>
    <x:col min="4" max="4" width="8.670000076293945" hidden="0" customWidth="1"/>
    <x:col min="5" max="5" width="8.779999732971191" hidden="0" customWidth="1"/>
    <x:col min="6" max="6" width="13.329999923706055" hidden="0" customWidth="1"/>
    <x:col min="7" max="7" width="25.110000610351562" hidden="0" customWidth="1"/>
    <x:col min="8" max="8" width="12.220000267028809" hidden="0" customWidth="1"/>
    <x:col min="9" max="9" width="40" hidden="0" customWidth="1"/>
    <x:col min="10" max="10" width="40" hidden="0" customWidth="1"/>
    <x:col min="11" max="11" width="6.329999923706055" hidden="0" customWidth="1"/>
    <x:col min="12" max="12" width="13.890000343322754" hidden="0" customWidth="1"/>
  </x:cols>
  <x:sheetData>
    <x:row r="1" ht="21.600000381469727" hidden="0" customHeight="1">
      <x:c r="A1" s="4" t="str">
        <x:v>通道规则与易混淆案例</x:v>
      </x:c>
      <x:c r="B1" s="4" t="str">
        <x:v>通道规则与易混淆案例</x:v>
      </x:c>
      <x:c r="C1" s="4" t="str">
        <x:v>通道规则与易混淆案例</x:v>
      </x:c>
      <x:c r="D1" s="4" t="str">
        <x:v>通道规则与易混淆案例</x:v>
      </x:c>
      <x:c r="E1" s="4" t="str">
        <x:v>通道规则与易混淆案例</x:v>
      </x:c>
      <x:c r="F1" s="4" t="str">
        <x:v>通道规则与易混淆案例</x:v>
      </x:c>
      <x:c r="G1" s="4" t="str">
        <x:v>通道规则与易混淆案例</x:v>
      </x:c>
      <x:c r="H1" s="4" t="str">
        <x:v>通道规则与易混淆案例</x:v>
      </x:c>
      <x:c r="I1" s="4" t="str">
        <x:v>通道规则与易混淆案例</x:v>
      </x:c>
      <x:c r="J1" s="4" t="str">
        <x:v>通道规则与易混淆案例</x:v>
      </x:c>
      <x:c r="K1" s="4" t="str">
        <x:v>通道规则与易混淆案例</x:v>
      </x:c>
      <x:c r="L1" s="4" t="str">
        <x:v>通道规则与易混淆案例</x:v>
      </x:c>
    </x:row>
    <x:row r="2" ht="15" hidden="0" customHeight="1">
      <x:c r="A2" s="7" t="str">
        <x:v>速率相同不代表内部结构相同；Host lanes、Optical lanes、PMD、连接器和电架构必须共同确定SKU</x:v>
      </x:c>
      <x:c r="B2" s="7" t="str">
        <x:v>速率相同不代表内部结构相同；Host lanes、Optical lanes、PMD、连接器和电架构必须共同确定SKU</x:v>
      </x:c>
      <x:c r="C2" s="7" t="str">
        <x:v>速率相同不代表内部结构相同；Host lanes、Optical lanes、PMD、连接器和电架构必须共同确定SKU</x:v>
      </x:c>
      <x:c r="D2" s="7" t="str">
        <x:v>速率相同不代表内部结构相同；Host lanes、Optical lanes、PMD、连接器和电架构必须共同确定SKU</x:v>
      </x:c>
      <x:c r="E2" s="7" t="str">
        <x:v>速率相同不代表内部结构相同；Host lanes、Optical lanes、PMD、连接器和电架构必须共同确定SKU</x:v>
      </x:c>
      <x:c r="F2" s="7" t="str">
        <x:v>速率相同不代表内部结构相同；Host lanes、Optical lanes、PMD、连接器和电架构必须共同确定SKU</x:v>
      </x:c>
      <x:c r="G2" s="7" t="str">
        <x:v>速率相同不代表内部结构相同；Host lanes、Optical lanes、PMD、连接器和电架构必须共同确定SKU</x:v>
      </x:c>
      <x:c r="H2" s="7" t="str">
        <x:v>速率相同不代表内部结构相同；Host lanes、Optical lanes、PMD、连接器和电架构必须共同确定SKU</x:v>
      </x:c>
      <x:c r="I2" s="7" t="str">
        <x:v>速率相同不代表内部结构相同；Host lanes、Optical lanes、PMD、连接器和电架构必须共同确定SKU</x:v>
      </x:c>
      <x:c r="J2" s="7" t="str">
        <x:v>速率相同不代表内部结构相同；Host lanes、Optical lanes、PMD、连接器和电架构必须共同确定SKU</x:v>
      </x:c>
      <x:c r="K2" s="7" t="str">
        <x:v>速率相同不代表内部结构相同；Host lanes、Optical lanes、PMD、连接器和电架构必须共同确定SKU</x:v>
      </x:c>
      <x:c r="L2" s="7" t="str">
        <x:v>速率相同不代表内部结构相同；Host lanes、Optical lanes、PMD、连接器和电架构必须共同确定SKU</x:v>
      </x:c>
    </x:row>
    <x:row r="3" ht="15" hidden="0" customHeight="1">
      <x:c r="A3" s="21" t="str">
        <x:v>← 返回‘00_型号选择器’工作表</x:v>
      </x:c>
    </x:row>
    <x:row r="4" ht="15" hidden="0" customHeight="1">
      <x:c r="A4" s="13" t="str">
        <x:v>案例</x:v>
      </x:c>
      <x:c r="B4" s="13" t="str">
        <x:v>总速率</x:v>
      </x:c>
      <x:c r="C4" s="13" t="str">
        <x:v>Host lanes</x:v>
      </x:c>
      <x:c r="D4" s="13" t="str">
        <x:v>Optical lanes</x:v>
      </x:c>
      <x:c r="E4" s="13" t="str">
        <x:v>是否Gearbox</x:v>
      </x:c>
      <x:c r="F4" s="13" t="str">
        <x:v>典型PMD</x:v>
      </x:c>
      <x:c r="G4" s="13" t="str">
        <x:v>典型连接器</x:v>
      </x:c>
      <x:c r="H4" s="13" t="str">
        <x:v>光源/调制</x:v>
      </x:c>
      <x:c r="I4" s="13" t="str">
        <x:v>结构差异</x:v>
      </x:c>
      <x:c r="J4" s="13" t="str">
        <x:v>成本/功耗影响</x:v>
      </x:c>
      <x:c r="K4" s="13" t="str">
        <x:v>证据</x:v>
      </x:c>
      <x:c r="L4" s="13" t="str">
        <x:v>状态</x:v>
      </x:c>
    </x:row>
    <x:row r="5" ht="15" hidden="0" customHeight="1">
      <x:c r="A5" s="19" t="str">
        <x:v>800G A</x:v>
      </x:c>
      <x:c r="B5" s="19" t="str">
        <x:v>800G</x:v>
      </x:c>
      <x:c r="C5" s="19" t="str">
        <x:v>8×100G</x:v>
      </x:c>
      <x:c r="D5" s="19" t="str">
        <x:v>8×100G</x:v>
      </x:c>
      <x:c r="E5" s="19" t="str">
        <x:v>否/1:1</x:v>
      </x:c>
      <x:c r="F5" s="19" t="str">
        <x:v>DR8/SR8/2×DR4</x:v>
      </x:c>
      <x:c r="G5" s="19" t="str">
        <x:v>MPO16/Dual MPO12</x:v>
      </x:c>
      <x:c r="H5" s="19" t="str">
        <x:v>EML/VCSEL/SiPh</x:v>
      </x:c>
      <x:c r="I5" s="19" t="str">
        <x:v>8条电通道与8条光通道一一对应</x:v>
      </x:c>
      <x:c r="J5" s="19" t="str">
        <x:v>通道数更多，光纤/耦合件数量更高</x:v>
      </x:c>
      <x:c r="K5" s="19" t="str">
        <x:v>S04</x:v>
      </x:c>
      <x:c r="L5" s="19" t="str">
        <x:v>公开产品</x:v>
      </x:c>
    </x:row>
    <x:row r="6" ht="15" hidden="0" customHeight="1">
      <x:c r="A6" s="19" t="str">
        <x:v>800G B</x:v>
      </x:c>
      <x:c r="B6" s="19" t="str">
        <x:v>800G</x:v>
      </x:c>
      <x:c r="C6" s="19" t="str">
        <x:v>8×100G</x:v>
      </x:c>
      <x:c r="D6" s="19" t="str">
        <x:v>4×200G</x:v>
      </x:c>
      <x:c r="E6" s="19" t="str">
        <x:v>是</x:v>
      </x:c>
      <x:c r="F6" s="19" t="str">
        <x:v>DR4/FR4</x:v>
      </x:c>
      <x:c r="G6" s="19" t="str">
        <x:v>MPO12/LC</x:v>
      </x:c>
      <x:c r="H6" s="19" t="str">
        <x:v>dEML/SiPh</x:v>
      </x:c>
      <x:c r="I6" s="19" t="str">
        <x:v>DSP完成8:4 gearbox</x:v>
      </x:c>
      <x:c r="J6" s="19" t="str">
        <x:v>光侧器件减半但单通道速率和DSP压力提高</x:v>
      </x:c>
      <x:c r="K6" s="19" t="str">
        <x:v>S06;S08</x:v>
      </x:c>
      <x:c r="L6" s="19" t="str">
        <x:v>公开演示/产品</x:v>
      </x:c>
    </x:row>
    <x:row r="7" ht="15" hidden="0" customHeight="1">
      <x:c r="A7" s="19" t="str">
        <x:v>800G C</x:v>
      </x:c>
      <x:c r="B7" s="19" t="str">
        <x:v>800G</x:v>
      </x:c>
      <x:c r="C7" s="19" t="str">
        <x:v>4×200G</x:v>
      </x:c>
      <x:c r="D7" s="19" t="str">
        <x:v>4×200G</x:v>
      </x:c>
      <x:c r="E7" s="19" t="str">
        <x:v>否/1:1</x:v>
      </x:c>
      <x:c r="F7" s="19" t="str">
        <x:v>DR4/FR4</x:v>
      </x:c>
      <x:c r="G7" s="19" t="str">
        <x:v>待datasheet</x:v>
      </x:c>
      <x:c r="H7" s="19" t="str">
        <x:v>EML/SiPh</x:v>
      </x:c>
      <x:c r="I7" s="19" t="str">
        <x:v>主机侧直接采用200G/lane</x:v>
      </x:c>
      <x:c r="J7" s="19" t="str">
        <x:v>可减少gearbox，但依赖224G SerDes生态</x:v>
      </x:c>
      <x:c r="K7" s="19" t="str">
        <x:v>S07</x:v>
      </x:c>
      <x:c r="L7" s="19" t="str">
        <x:v>导入，存在页面矛盾</x:v>
      </x:c>
    </x:row>
    <x:row r="8" ht="15" hidden="0" customHeight="1">
      <x:c r="A8" s="19" t="str">
        <x:v>1.6T Retimed</x:v>
      </x:c>
      <x:c r="B8" s="19" t="str">
        <x:v>1.6T</x:v>
      </x:c>
      <x:c r="C8" s="19" t="str">
        <x:v>8×200G</x:v>
      </x:c>
      <x:c r="D8" s="19" t="str">
        <x:v>8×200G</x:v>
      </x:c>
      <x:c r="E8" s="19" t="str">
        <x:v>否/1:1</x:v>
      </x:c>
      <x:c r="F8" s="19" t="str">
        <x:v>DR8/2×DR4/2×FR4</x:v>
      </x:c>
      <x:c r="G8" s="19" t="str">
        <x:v>MPO16/Dual MPO12/Dual LC</x:v>
      </x:c>
      <x:c r="H8" s="19" t="str">
        <x:v>EML/SiPh</x:v>
      </x:c>
      <x:c r="I8" s="19" t="str">
        <x:v>模块内DSP完成均衡和监控</x:v>
      </x:c>
      <x:c r="J8" s="19" t="str">
        <x:v>功耗和成本较高，互操作边界清晰</x:v>
      </x:c>
      <x:c r="K8" s="19" t="str">
        <x:v>S08-S12</x:v>
      </x:c>
      <x:c r="L8" s="19" t="str">
        <x:v>产品导入</x:v>
      </x:c>
    </x:row>
    <x:row r="9" ht="15" hidden="0" customHeight="1">
      <x:c r="A9" s="19" t="str">
        <x:v>1.6T LPO</x:v>
      </x:c>
      <x:c r="B9" s="19" t="str">
        <x:v>1.6T</x:v>
      </x:c>
      <x:c r="C9" s="19" t="str">
        <x:v>8×200G</x:v>
      </x:c>
      <x:c r="D9" s="19" t="str">
        <x:v>8×200G</x:v>
      </x:c>
      <x:c r="E9" s="19" t="str">
        <x:v>否/1:1</x:v>
      </x:c>
      <x:c r="F9" s="19" t="str">
        <x:v>DR8/2×DR4</x:v>
      </x:c>
      <x:c r="G9" s="19" t="str">
        <x:v>MPO16/Dual MPO12</x:v>
      </x:c>
      <x:c r="H9" s="19" t="str">
        <x:v>SiPh</x:v>
      </x:c>
      <x:c r="I9" s="19" t="str">
        <x:v>模块侧不放DSP</x:v>
      </x:c>
      <x:c r="J9" s="19" t="str">
        <x:v>降低模块功耗与部分成本，但系统协同和链路预算风险上升</x:v>
      </x:c>
      <x:c r="K9" s="19" t="str">
        <x:v>S09</x:v>
      </x:c>
      <x:c r="L9" s="19" t="str">
        <x:v>样品/导入</x:v>
      </x:c>
    </x:row>
    <x:row r="10" ht="24" hidden="0" customHeight="1">
      <x:c r="A10" s="19" t="str">
        <x:v>3.2T CPO</x:v>
      </x:c>
      <x:c r="B10" s="19" t="str">
        <x:v>3.2T</x:v>
      </x:c>
      <x:c r="C10" s="19" t="str">
        <x:v>32×106.25Gb/s（112G XSR等级）</x:v>
      </x:c>
      <x:c r="D10" s="19" t="str">
        <x:v>32×100G</x:v>
      </x:c>
      <x:c r="E10" s="19" t="str">
        <x:v>系统级映射</x:v>
      </x:c>
      <x:c r="F10" s="19" t="str">
        <x:v>8×400G DR4/FR4</x:v>
      </x:c>
      <x:c r="G10" s="19" t="str">
        <x:v>线路侧连接器未规定；ELS为4/8 PMF</x:v>
      </x:c>
      <x:c r="H10" s="19" t="str">
        <x:v>SiPh+内/外置CW</x:v>
      </x:c>
      <x:c r="I10" s="19" t="str">
        <x:v>光引擎靠近交换ASIC，共封装</x:v>
      </x:c>
      <x:c r="J10" s="19" t="str">
        <x:v>降低长电通道损耗，但制造、散热和可维护性复杂；OIF最大功耗为内置激光56W、外置激光48W</x:v>
      </x:c>
      <x:c r="K10" s="19" t="str">
        <x:v>S14</x:v>
      </x:c>
      <x:c r="L10" s="19" t="str">
        <x:v>正式IA架构</x:v>
      </x:c>
    </x:row>
    <x:row r="11" ht="15" hidden="0" customHeight="1">
      <x:c r="A11" s="19" t="str">
        <x:v>3.2T OSFP-XD</x:v>
      </x:c>
      <x:c r="B11" s="19" t="str">
        <x:v>3.2T</x:v>
      </x:c>
      <x:c r="C11" s="19" t="str">
        <x:v>TBD</x:v>
      </x:c>
      <x:c r="D11" s="19" t="str">
        <x:v>TBD</x:v>
      </x:c>
      <x:c r="E11" s="19" t="str">
        <x:v>预计需要</x:v>
      </x:c>
      <x:c r="F11" s="19" t="str">
        <x:v>DR/FR roadmap</x:v>
      </x:c>
      <x:c r="G11" s="19" t="str">
        <x:v>TBD</x:v>
      </x:c>
      <x:c r="H11" s="19" t="str">
        <x:v>TBD</x:v>
      </x:c>
      <x:c r="I11" s="19" t="str">
        <x:v>只确认形态能力，精确通道未采用存在矛盾的FAQ数字</x:v>
      </x:c>
      <x:c r="J11" s="19" t="str">
        <x:v>高功耗可插拔，成本仅有行业预测</x:v>
      </x:c>
      <x:c r="K11" s="19" t="str">
        <x:v>S15;S16</x:v>
      </x:c>
      <x:c r="L11" s="19" t="str">
        <x:v>Roadmap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1e5d1e0cad6b43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.109999656677246" hidden="0" customWidth="1"/>
    <x:col min="3" max="3" width="8.670000076293945" hidden="0" customWidth="1"/>
    <x:col min="4" max="4" width="8.4399995803833" hidden="0" customWidth="1"/>
    <x:col min="5" max="5" width="8.4399995803833" hidden="0" customWidth="1"/>
    <x:col min="6" max="6" width="42" hidden="0" customWidth="1"/>
  </x:cols>
  <x:sheetData>
    <x:row r="1" ht="21.600000381469727" hidden="0" customHeight="1">
      <x:c r="A1" s="4" t="str">
        <x:v>架构到器件BOM映射</x:v>
      </x:c>
      <x:c r="B1" s="4" t="str">
        <x:v>架构到器件BOM映射</x:v>
      </x:c>
      <x:c r="C1" s="4" t="str">
        <x:v>架构到器件BOM映射</x:v>
      </x:c>
      <x:c r="D1" s="4" t="str">
        <x:v>架构到器件BOM映射</x:v>
      </x:c>
      <x:c r="E1" s="4" t="str">
        <x:v>架构到器件BOM映射</x:v>
      </x:c>
      <x:c r="F1" s="4" t="str">
        <x:v>架构到器件BOM映射</x:v>
      </x:c>
    </x:row>
    <x:row r="2" ht="15" hidden="0" customHeight="1">
      <x:c r="A2" s="7" t="str">
        <x:v>数量优先表示功能通道或组件组数，不等于封装颗数；未获厂商BOM时均标记为代表性架构</x:v>
      </x:c>
      <x:c r="B2" s="7" t="str">
        <x:v>数量优先表示功能通道或组件组数，不等于封装颗数；未获厂商BOM时均标记为代表性架构</x:v>
      </x:c>
      <x:c r="C2" s="7" t="str">
        <x:v>数量优先表示功能通道或组件组数，不等于封装颗数；未获厂商BOM时均标记为代表性架构</x:v>
      </x:c>
      <x:c r="D2" s="7" t="str">
        <x:v>数量优先表示功能通道或组件组数，不等于封装颗数；未获厂商BOM时均标记为代表性架构</x:v>
      </x:c>
      <x:c r="E2" s="7" t="str">
        <x:v>数量优先表示功能通道或组件组数，不等于封装颗数；未获厂商BOM时均标记为代表性架构</x:v>
      </x:c>
      <x:c r="F2" s="7" t="str">
        <x:v>数量优先表示功能通道或组件组数，不等于封装颗数；未获厂商BOM时均标记为代表性架构</x:v>
      </x:c>
    </x:row>
    <x:row r="3" ht="15" hidden="0" customHeight="1">
      <x:c r="A3" s="21" t="str">
        <x:v>← 返回‘00_型号选择器’工作表</x:v>
      </x:c>
    </x:row>
    <x:row r="4" ht="15" hidden="0" customHeight="1">
      <x:c r="A4" s="13" t="str">
        <x:v>Variant_ID</x:v>
      </x:c>
      <x:c r="B4" s="13" t="str">
        <x:v>Component_ID</x:v>
      </x:c>
      <x:c r="C4" s="13" t="str">
        <x:v>数量/通道数</x:v>
      </x:c>
      <x:c r="D4" s="13" t="str">
        <x:v>必需性</x:v>
      </x:c>
      <x:c r="E4" s="13" t="str">
        <x:v>数量口径</x:v>
      </x:c>
      <x:c r="F4" s="13" t="str">
        <x:v>说明</x:v>
      </x:c>
    </x:row>
    <x:row r="5" ht="15" hidden="0" customHeight="1">
      <x:c r="A5" s="19" t="str">
        <x:v>400-QDD-LR4-8E4O-EML</x:v>
      </x:c>
      <x:c r="B5" s="19" t="str">
        <x:v>C001</x:v>
      </x:c>
      <x:c r="C5" s="19" t="n">
        <x:v>1</x:v>
      </x:c>
      <x:c r="D5" s="19" t="str">
        <x:v>必需</x:v>
      </x:c>
      <x:c r="E5" s="19" t="str">
        <x:v>形态级</x:v>
      </x:c>
      <x:c r="F5" s="19" t="str">
        <x:v>QSFP-DD</x:v>
      </x:c>
    </x:row>
    <x:row r="6" ht="15" hidden="0" customHeight="1">
      <x:c r="A6" s="19" t="str">
        <x:v>400-QDD-LR4-8E4O-EML</x:v>
      </x:c>
      <x:c r="B6" s="19" t="str">
        <x:v>C002</x:v>
      </x:c>
      <x:c r="C6" s="19" t="n">
        <x:v>1</x:v>
      </x:c>
      <x:c r="D6" s="19" t="str">
        <x:v>必需</x:v>
      </x:c>
      <x:c r="E6" s="19" t="str">
        <x:v>形态级</x:v>
      </x:c>
      <x:c r="F6" s="19" t="str">
        <x:v>散热能力需按功耗校核</x:v>
      </x:c>
    </x:row>
    <x:row r="7" ht="15" hidden="0" customHeight="1">
      <x:c r="A7" s="19" t="str">
        <x:v>400-QDD-LR4-8E4O-EML</x:v>
      </x:c>
      <x:c r="B7" s="19" t="str">
        <x:v>C003</x:v>
      </x:c>
      <x:c r="C7" s="19" t="n">
        <x:v>1</x:v>
      </x:c>
      <x:c r="D7" s="19" t="str">
        <x:v>必需</x:v>
      </x:c>
      <x:c r="E7" s="19" t="str">
        <x:v>形态级</x:v>
      </x:c>
      <x:c r="F7" s="19" t="str">
        <x:v>CPO无传统前面板模块拉环</x:v>
      </x:c>
    </x:row>
    <x:row r="8" ht="15" hidden="0" customHeight="1">
      <x:c r="A8" s="19" t="str">
        <x:v>400-QDD-LR4-8E4O-EML</x:v>
      </x:c>
      <x:c r="B8" s="19" t="str">
        <x:v>C004</x:v>
      </x:c>
      <x:c r="C8" s="19" t="n">
        <x:v>1</x:v>
      </x:c>
      <x:c r="D8" s="19" t="str">
        <x:v>必需</x:v>
      </x:c>
      <x:c r="E8" s="19" t="str">
        <x:v>代表性</x:v>
      </x:c>
      <x:c r="F8" s="19" t="str">
        <x:v>EMI屏蔽结构依外壳设计</x:v>
      </x:c>
    </x:row>
    <x:row r="9" ht="15" hidden="0" customHeight="1">
      <x:c r="A9" s="19" t="str">
        <x:v>400-QDD-LR4-8E4O-EML</x:v>
      </x:c>
      <x:c r="B9" s="19" t="str">
        <x:v>C005</x:v>
      </x:c>
      <x:c r="C9" s="19" t="n">
        <x:v>1</x:v>
      </x:c>
      <x:c r="D9" s="19" t="str">
        <x:v>必需</x:v>
      </x:c>
      <x:c r="E9" s="19" t="str">
        <x:v>代表性</x:v>
      </x:c>
      <x:c r="F9" s="19" t="str">
        <x:v>CPO可采用封装基板+系统PCB</x:v>
      </x:c>
    </x:row>
    <x:row r="10" ht="15" hidden="0" customHeight="1">
      <x:c r="A10" s="19" t="str">
        <x:v>400-QDD-LR4-8E4O-EML</x:v>
      </x:c>
      <x:c r="B10" s="19" t="str">
        <x:v>C056</x:v>
      </x:c>
      <x:c r="C10" s="19" t="n">
        <x:v>1</x:v>
      </x:c>
      <x:c r="D10" s="19" t="str">
        <x:v>必需</x:v>
      </x:c>
      <x:c r="E10" s="19" t="str">
        <x:v>形态级</x:v>
      </x:c>
      <x:c r="F10" s="19" t="str">
        <x:v>可插拔模块主机侧金手指/电连接器</x:v>
      </x:c>
    </x:row>
    <x:row r="11" ht="15" hidden="0" customHeight="1">
      <x:c r="A11" s="19" t="str">
        <x:v>400-QDD-LR4-8E4O-EML</x:v>
      </x:c>
      <x:c r="B11" s="19" t="str">
        <x:v>C057</x:v>
      </x:c>
      <x:c r="C11" s="19" t="n">
        <x:v>1</x:v>
      </x:c>
      <x:c r="D11" s="19" t="str">
        <x:v>系统配套</x:v>
      </x:c>
      <x:c r="E11" s="19" t="str">
        <x:v>系统级</x:v>
      </x:c>
      <x:c r="F11" s="19" t="str">
        <x:v>cage不属于模块内采购BOM</x:v>
      </x:c>
    </x:row>
    <x:row r="12" ht="15" hidden="0" customHeight="1">
      <x:c r="A12" s="19" t="str">
        <x:v>400-QDD-LR4-8E4O-EML</x:v>
      </x:c>
      <x:c r="B12" s="19" t="str">
        <x:v>C007</x:v>
      </x:c>
      <x:c r="C12" s="19" t="n">
        <x:v>1</x:v>
      </x:c>
      <x:c r="D12" s="19" t="str">
        <x:v>必需</x:v>
      </x:c>
      <x:c r="E12" s="19" t="str">
        <x:v>代表性</x:v>
      </x:c>
      <x:c r="F12" s="19" t="str">
        <x:v>光引擎承载基板/Interposer</x:v>
      </x:c>
    </x:row>
    <x:row r="13" ht="15" hidden="0" customHeight="1">
      <x:c r="A13" s="19" t="str">
        <x:v>400-QDD-LR4-8E4O-EML</x:v>
      </x:c>
      <x:c r="B13" s="19" t="str">
        <x:v>C008</x:v>
      </x:c>
      <x:c r="C13" s="19" t="n">
        <x:v>1</x:v>
      </x:c>
      <x:c r="D13" s="19" t="str">
        <x:v>必需</x:v>
      </x:c>
      <x:c r="E13" s="19" t="str">
        <x:v>代表性</x:v>
      </x:c>
      <x:c r="F13" s="19" t="str">
        <x:v>数量按功耗域，不等于精确颗数</x:v>
      </x:c>
    </x:row>
    <x:row r="14" ht="15" hidden="0" customHeight="1">
      <x:c r="A14" s="19" t="str">
        <x:v>400-QDD-LR4-8E4O-EML</x:v>
      </x:c>
      <x:c r="B14" s="19" t="str">
        <x:v>C009</x:v>
      </x:c>
      <x:c r="C14" s="19" t="n">
        <x:v>1</x:v>
      </x:c>
      <x:c r="D14" s="19" t="str">
        <x:v>必需</x:v>
      </x:c>
      <x:c r="E14" s="19" t="str">
        <x:v>管理接口</x:v>
      </x:c>
      <x:c r="F14" s="19" t="str">
        <x:v>可插拔模块使用CMIS管理</x:v>
      </x:c>
    </x:row>
    <x:row r="15" ht="15" hidden="0" customHeight="1">
      <x:c r="A15" s="19" t="str">
        <x:v>400-QDD-LR4-8E4O-EML</x:v>
      </x:c>
      <x:c r="B15" s="19" t="str">
        <x:v>C010</x:v>
      </x:c>
      <x:c r="C15" s="19" t="n">
        <x:v>1</x:v>
      </x:c>
      <x:c r="D15" s="19" t="str">
        <x:v>按实现</x:v>
      </x:c>
      <x:c r="E15" s="19" t="str">
        <x:v>代表性</x:v>
      </x:c>
      <x:c r="F15" s="19" t="str">
        <x:v>模块控制与校准</x:v>
      </x:c>
    </x:row>
    <x:row r="16" ht="15" hidden="0" customHeight="1">
      <x:c r="A16" s="19" t="str">
        <x:v>400-QDD-LR4-8E4O-EML</x:v>
      </x:c>
      <x:c r="B16" s="19" t="str">
        <x:v>C058</x:v>
      </x:c>
      <x:c r="C16" s="19" t="n">
        <x:v>1</x:v>
      </x:c>
      <x:c r="D16" s="19" t="str">
        <x:v>按实现</x:v>
      </x:c>
      <x:c r="E16" s="19" t="str">
        <x:v>时钟架构</x:v>
      </x:c>
      <x:c r="F16" s="19" t="str">
        <x:v>可由主机提供REFCLK或使用模块内时钟器件</x:v>
      </x:c>
    </x:row>
    <x:row r="17" ht="15" hidden="0" customHeight="1">
      <x:c r="A17" s="19" t="str">
        <x:v>400-QDD-LR4-8E4O-EML</x:v>
      </x:c>
      <x:c r="B17" s="19" t="str">
        <x:v>C059</x:v>
      </x:c>
      <x:c r="C17" s="19" t="n">
        <x:v>1</x:v>
      </x:c>
      <x:c r="D17" s="19" t="str">
        <x:v>必需/可集成</x:v>
      </x:c>
      <x:c r="E17" s="19" t="str">
        <x:v>监控功能</x:v>
      </x:c>
      <x:c r="F17" s="19" t="str">
        <x:v>CMIS/控制系统温度监测</x:v>
      </x:c>
    </x:row>
    <x:row r="18" ht="15" hidden="0" customHeight="1">
      <x:c r="A18" s="19" t="str">
        <x:v>400-QDD-LR4-8E4O-EML</x:v>
      </x:c>
      <x:c r="B18" s="19" t="str">
        <x:v>C060</x:v>
      </x:c>
      <x:c r="C18" s="19" t="n">
        <x:v>1</x:v>
      </x:c>
      <x:c r="D18" s="19" t="str">
        <x:v>必需</x:v>
      </x:c>
      <x:c r="E18" s="19" t="str">
        <x:v>器件组</x:v>
      </x:c>
      <x:c r="F18" s="19" t="str">
        <x:v>R/C/L数量不按lane数表示</x:v>
      </x:c>
    </x:row>
    <x:row r="19" ht="15" hidden="0" customHeight="1">
      <x:c r="A19" s="19" t="str">
        <x:v>400-QDD-LR4-8E4O-EML</x:v>
      </x:c>
      <x:c r="B19" s="19" t="str">
        <x:v>C062</x:v>
      </x:c>
      <x:c r="C19" s="19" t="n">
        <x:v>1</x:v>
      </x:c>
      <x:c r="D19" s="19" t="str">
        <x:v>按封装</x:v>
      </x:c>
      <x:c r="E19" s="19" t="str">
        <x:v>互连工艺</x:v>
      </x:c>
      <x:c r="F19" s="19" t="str">
        <x:v>flip-chip平台使用</x:v>
      </x:c>
    </x:row>
    <x:row r="20" ht="15" hidden="0" customHeight="1">
      <x:c r="A20" s="19" t="str">
        <x:v>400-QDD-LR4-8E4O-EML</x:v>
      </x:c>
      <x:c r="B20" s="19" t="str">
        <x:v>C063</x:v>
      </x:c>
      <x:c r="C20" s="19" t="n">
        <x:v>1</x:v>
      </x:c>
      <x:c r="D20" s="19" t="str">
        <x:v>按封装</x:v>
      </x:c>
      <x:c r="E20" s="19" t="str">
        <x:v>互连工艺</x:v>
      </x:c>
      <x:c r="F20" s="19" t="str">
        <x:v>wire/ribbon bond平台使用</x:v>
      </x:c>
    </x:row>
    <x:row r="21" ht="15" hidden="0" customHeight="1">
      <x:c r="A21" s="19" t="str">
        <x:v>400-QDD-LR4-8E4O-EML</x:v>
      </x:c>
      <x:c r="B21" s="19" t="str">
        <x:v>C011</x:v>
      </x:c>
      <x:c r="C21" s="19" t="n">
        <x:v>1</x:v>
      </x:c>
      <x:c r="D21" s="19" t="str">
        <x:v>必需</x:v>
      </x:c>
      <x:c r="E21" s="19" t="str">
        <x:v>架构级</x:v>
      </x:c>
      <x:c r="F21" s="19" t="str">
        <x:v>含DSP/Gearbox</x:v>
      </x:c>
    </x:row>
    <x:row r="22" ht="15" hidden="0" customHeight="1">
      <x:c r="A22" s="19" t="str">
        <x:v>400-QDD-LR4-8E4O-EML</x:v>
      </x:c>
      <x:c r="B22" s="19" t="str">
        <x:v>C012</x:v>
      </x:c>
      <x:c r="C22" s="19" t="n">
        <x:v>1</x:v>
      </x:c>
      <x:c r="D22" s="19" t="str">
        <x:v>必需</x:v>
      </x:c>
      <x:c r="E22" s="19" t="str">
        <x:v>通道级</x:v>
      </x:c>
      <x:c r="F22" s="19" t="str">
        <x:v>8×50G→4×100G</x:v>
      </x:c>
    </x:row>
    <x:row r="23" ht="15" hidden="0" customHeight="1">
      <x:c r="A23" s="19" t="str">
        <x:v>400-QDD-LR4-8E4O-EML</x:v>
      </x:c>
      <x:c r="B23" s="19" t="str">
        <x:v>C014</x:v>
      </x:c>
      <x:c r="C23" s="19" t="n">
        <x:v>4</x:v>
      </x:c>
      <x:c r="D23" s="19" t="str">
        <x:v>必需</x:v>
      </x:c>
      <x:c r="E23" s="19" t="str">
        <x:v>功能通道数</x:v>
      </x:c>
      <x:c r="F23" s="19" t="str">
        <x:v>可能为阵列/多通道die，非精确封装颗数</x:v>
      </x:c>
    </x:row>
    <x:row r="24" ht="15" hidden="0" customHeight="1">
      <x:c r="A24" s="19" t="str">
        <x:v>400-QDD-LR4-8E4O-EML</x:v>
      </x:c>
      <x:c r="B24" s="19" t="str">
        <x:v>C015</x:v>
      </x:c>
      <x:c r="C24" s="19" t="n">
        <x:v>4</x:v>
      </x:c>
      <x:c r="D24" s="19" t="str">
        <x:v>必需</x:v>
      </x:c>
      <x:c r="E24" s="19" t="str">
        <x:v>功能通道数</x:v>
      </x:c>
      <x:c r="F24" s="19" t="str">
        <x:v>可能为阵列/多通道die，非精确封装颗数</x:v>
      </x:c>
    </x:row>
    <x:row r="25" ht="15" hidden="0" customHeight="1">
      <x:c r="A25" s="19" t="str">
        <x:v>400-QDD-LR4-8E4O-EML</x:v>
      </x:c>
      <x:c r="B25" s="19" t="str">
        <x:v>C021</x:v>
      </x:c>
      <x:c r="C25" s="19" t="n">
        <x:v>4</x:v>
      </x:c>
      <x:c r="D25" s="19" t="str">
        <x:v>必需</x:v>
      </x:c>
      <x:c r="E25" s="19" t="str">
        <x:v>光通道</x:v>
      </x:c>
      <x:c r="F25" s="19" t="str">
        <x:v>可为阵列/多通道封装</x:v>
      </x:c>
    </x:row>
    <x:row r="26" ht="15" hidden="0" customHeight="1">
      <x:c r="A26" s="19" t="str">
        <x:v>400-QDD-LR4-8E4O-EML</x:v>
      </x:c>
      <x:c r="B26" s="19" t="str">
        <x:v>C022</x:v>
      </x:c>
      <x:c r="C26" s="19" t="n">
        <x:v>4</x:v>
      </x:c>
      <x:c r="D26" s="19" t="str">
        <x:v>内嵌</x:v>
      </x:c>
      <x:c r="E26" s="19" t="str">
        <x:v>微结构</x:v>
      </x:c>
      <x:c r="F26" s="19" t="str">
        <x:v>DFB/DBR波长选择结构</x:v>
      </x:c>
    </x:row>
    <x:row r="27" ht="15" hidden="0" customHeight="1">
      <x:c r="A27" s="19" t="str">
        <x:v>400-QDD-LR4-8E4O-EML</x:v>
      </x:c>
      <x:c r="B27" s="19" t="str">
        <x:v>C067</x:v>
      </x:c>
      <x:c r="C27" s="19" t="n">
        <x:v>4</x:v>
      </x:c>
      <x:c r="D27" s="19" t="str">
        <x:v>内嵌</x:v>
      </x:c>
      <x:c r="E27" s="19" t="str">
        <x:v>微结构</x:v>
      </x:c>
      <x:c r="F27" s="19" t="str">
        <x:v>EML内部EAM调制区</x:v>
      </x:c>
    </x:row>
    <x:row r="28" ht="15" hidden="0" customHeight="1">
      <x:c r="A28" s="19" t="str">
        <x:v>400-QDD-LR4-8E4O-EML</x:v>
      </x:c>
      <x:c r="B28" s="19" t="str">
        <x:v>C068</x:v>
      </x:c>
      <x:c r="C28" s="19" t="n">
        <x:v>4</x:v>
      </x:c>
      <x:c r="D28" s="19" t="str">
        <x:v>内嵌</x:v>
      </x:c>
      <x:c r="E28" s="19" t="str">
        <x:v>微结构</x:v>
      </x:c>
      <x:c r="F28" s="19" t="str">
        <x:v>激光器/调制器量子阱有源区</x:v>
      </x:c>
    </x:row>
    <x:row r="29" ht="15" hidden="0" customHeight="1">
      <x:c r="A29" s="19" t="str">
        <x:v>400-QDD-LR4-8E4O-EML</x:v>
      </x:c>
      <x:c r="B29" s="19" t="str">
        <x:v>C069</x:v>
      </x:c>
      <x:c r="C29" s="19" t="n">
        <x:v>4</x:v>
      </x:c>
      <x:c r="D29" s="19" t="str">
        <x:v>内嵌</x:v>
      </x:c>
      <x:c r="E29" s="19" t="str">
        <x:v>工艺</x:v>
      </x:c>
      <x:c r="F29" s="19" t="str">
        <x:v>端面AR/HR膜</x:v>
      </x:c>
    </x:row>
    <x:row r="30" ht="15" hidden="0" customHeight="1">
      <x:c r="A30" s="19" t="str">
        <x:v>400-QDD-LR4-8E4O-EML</x:v>
      </x:c>
      <x:c r="B30" s="19" t="str">
        <x:v>C061</x:v>
      </x:c>
      <x:c r="C30" s="19" t="n">
        <x:v>1</x:v>
      </x:c>
      <x:c r="D30" s="19" t="str">
        <x:v>必需</x:v>
      </x:c>
      <x:c r="E30" s="19" t="str">
        <x:v>封装</x:v>
      </x:c>
      <x:c r="F30" s="19" t="str">
        <x:v>EML/PD阵列承载</x:v>
      </x:c>
    </x:row>
    <x:row r="31" ht="15" hidden="0" customHeight="1">
      <x:c r="A31" s="19" t="str">
        <x:v>400-QDD-LR4-8E4O-EML</x:v>
      </x:c>
      <x:c r="B31" s="19" t="str">
        <x:v>C031</x:v>
      </x:c>
      <x:c r="C31" s="19" t="n">
        <x:v>4</x:v>
      </x:c>
      <x:c r="D31" s="19" t="str">
        <x:v>必需</x:v>
      </x:c>
      <x:c r="E31" s="19" t="str">
        <x:v>光通道</x:v>
      </x:c>
      <x:c r="F31" s="19" t="str">
        <x:v>InGaAs PIN</x:v>
      </x:c>
    </x:row>
    <x:row r="32" ht="15" hidden="0" customHeight="1">
      <x:c r="A32" s="19" t="str">
        <x:v>400-QDD-LR4-8E4O-EML</x:v>
      </x:c>
      <x:c r="B32" s="19" t="str">
        <x:v>C049</x:v>
      </x:c>
      <x:c r="C32" s="19" t="n">
        <x:v>4</x:v>
      </x:c>
      <x:c r="D32" s="19" t="str">
        <x:v>必需</x:v>
      </x:c>
      <x:c r="E32" s="19" t="str">
        <x:v>光纤通道</x:v>
      </x:c>
      <x:c r="F32" s="19" t="str">
        <x:v>SMF</x:v>
      </x:c>
    </x:row>
    <x:row r="33" ht="15" hidden="0" customHeight="1">
      <x:c r="A33" s="19" t="str">
        <x:v>400-QDD-LR4-8E4O-EML</x:v>
      </x:c>
      <x:c r="B33" s="19" t="str">
        <x:v>C034</x:v>
      </x:c>
      <x:c r="C33" s="19" t="n">
        <x:v>1</x:v>
      </x:c>
      <x:c r="D33" s="19" t="str">
        <x:v>必需</x:v>
      </x:c>
      <x:c r="E33" s="19" t="str">
        <x:v>端口/波分组</x:v>
      </x:c>
      <x:c r="F33" s="19" t="str">
        <x:v>4λ CWDM</x:v>
      </x:c>
    </x:row>
    <x:row r="34" ht="15" hidden="0" customHeight="1">
      <x:c r="A34" s="19" t="str">
        <x:v>400-QDD-LR4-8E4O-EML</x:v>
      </x:c>
      <x:c r="B34" s="19" t="str">
        <x:v>C035</x:v>
      </x:c>
      <x:c r="C34" s="19" t="n">
        <x:v>1</x:v>
      </x:c>
      <x:c r="D34" s="19" t="str">
        <x:v>实现选项</x:v>
      </x:c>
      <x:c r="E34" s="19" t="str">
        <x:v>微结构</x:v>
      </x:c>
      <x:c r="F34" s="19" t="str">
        <x:v>AWG为MUX/DEMUX的一种实现</x:v>
      </x:c>
    </x:row>
    <x:row r="35" ht="15" hidden="0" customHeight="1">
      <x:c r="A35" s="19" t="str">
        <x:v>400-QDD-LR4-8E4O-EML</x:v>
      </x:c>
      <x:c r="B35" s="19" t="str">
        <x:v>C036</x:v>
      </x:c>
      <x:c r="C35" s="19" t="n">
        <x:v>1</x:v>
      </x:c>
      <x:c r="D35" s="19" t="str">
        <x:v>实现选项</x:v>
      </x:c>
      <x:c r="E35" s="19" t="str">
        <x:v>微结构</x:v>
      </x:c>
      <x:c r="F35" s="19" t="str">
        <x:v>TFF为MUX/DEMUX的另一种实现</x:v>
      </x:c>
    </x:row>
    <x:row r="36" ht="15" hidden="0" customHeight="1">
      <x:c r="A36" s="19" t="str">
        <x:v>400-QDD-LR4-8E4O-EML</x:v>
      </x:c>
      <x:c r="B36" s="19" t="str">
        <x:v>C037</x:v>
      </x:c>
      <x:c r="C36" s="19" t="n">
        <x:v>4</x:v>
      </x:c>
      <x:c r="D36" s="19" t="str">
        <x:v>按实现</x:v>
      </x:c>
      <x:c r="E36" s="19" t="str">
        <x:v>光通道</x:v>
      </x:c>
      <x:c r="F36" s="19" t="str">
        <x:v>自由空间/阵列耦合时使用</x:v>
      </x:c>
    </x:row>
    <x:row r="37" ht="15" hidden="0" customHeight="1">
      <x:c r="A37" s="19" t="str">
        <x:v>400-QDD-LR4-8E4O-EML</x:v>
      </x:c>
      <x:c r="B37" s="19" t="str">
        <x:v>C038</x:v>
      </x:c>
      <x:c r="C37" s="19" t="n">
        <x:v>4</x:v>
      </x:c>
      <x:c r="D37" s="19" t="str">
        <x:v>按实现</x:v>
      </x:c>
      <x:c r="E37" s="19" t="str">
        <x:v>光通道</x:v>
      </x:c>
      <x:c r="F37" s="19" t="str">
        <x:v>FAU可能按阵列封装，不等于单根数量</x:v>
      </x:c>
    </x:row>
    <x:row r="38" ht="15" hidden="0" customHeight="1">
      <x:c r="A38" s="19" t="str">
        <x:v>400-QDD-LR4-8E4O-EML</x:v>
      </x:c>
      <x:c r="B38" s="19" t="str">
        <x:v>C047</x:v>
      </x:c>
      <x:c r="C38" s="19" t="n">
        <x:v>1</x:v>
      </x:c>
      <x:c r="D38" s="19" t="str">
        <x:v>必需</x:v>
      </x:c>
      <x:c r="E38" s="19" t="str">
        <x:v>连接器级</x:v>
      </x:c>
      <x:c r="F38" s="19" t="str">
        <x:v>LC</x:v>
      </x:c>
    </x:row>
    <x:row r="39" ht="15" hidden="0" customHeight="1">
      <x:c r="A39" s="19" t="str">
        <x:v>400-QDD-LR4-8E4O-EML</x:v>
      </x:c>
      <x:c r="B39" s="19" t="str">
        <x:v>C053</x:v>
      </x:c>
      <x:c r="C39" s="19" t="n">
        <x:v>1</x:v>
      </x:c>
      <x:c r="D39" s="19" t="str">
        <x:v>必需</x:v>
      </x:c>
      <x:c r="E39" s="19" t="str">
        <x:v>热管理</x:v>
      </x:c>
      <x:c r="F39" s="19" t="str">
        <x:v>TIM</x:v>
      </x:c>
    </x:row>
    <x:row r="40" ht="15" hidden="0" customHeight="1">
      <x:c r="A40" s="19" t="str">
        <x:v>400-QDD-LR4-8E4O-EML</x:v>
      </x:c>
      <x:c r="B40" s="19" t="str">
        <x:v>C054</x:v>
      </x:c>
      <x:c r="C40" s="19" t="n">
        <x:v>1</x:v>
      </x:c>
      <x:c r="D40" s="19" t="str">
        <x:v>按实现</x:v>
      </x:c>
      <x:c r="E40" s="19" t="str">
        <x:v>封装</x:v>
      </x:c>
      <x:c r="F40" s="19" t="str">
        <x:v>光学胶/底填</x:v>
      </x:c>
    </x:row>
    <x:row r="41" ht="15" hidden="0" customHeight="1">
      <x:c r="A41" s="19" t="str">
        <x:v>400-QDD-FR4-8E4O-EML</x:v>
      </x:c>
      <x:c r="B41" s="19" t="str">
        <x:v>C001</x:v>
      </x:c>
      <x:c r="C41" s="19" t="n">
        <x:v>1</x:v>
      </x:c>
      <x:c r="D41" s="19" t="str">
        <x:v>必需</x:v>
      </x:c>
      <x:c r="E41" s="19" t="str">
        <x:v>形态级</x:v>
      </x:c>
      <x:c r="F41" s="19" t="str">
        <x:v>QSFP-DD</x:v>
      </x:c>
    </x:row>
    <x:row r="42" ht="15" hidden="0" customHeight="1">
      <x:c r="A42" s="19" t="str">
        <x:v>400-QDD-FR4-8E4O-EML</x:v>
      </x:c>
      <x:c r="B42" s="19" t="str">
        <x:v>C002</x:v>
      </x:c>
      <x:c r="C42" s="19" t="n">
        <x:v>1</x:v>
      </x:c>
      <x:c r="D42" s="19" t="str">
        <x:v>必需</x:v>
      </x:c>
      <x:c r="E42" s="19" t="str">
        <x:v>形态级</x:v>
      </x:c>
      <x:c r="F42" s="19" t="str">
        <x:v>散热能力需按功耗校核</x:v>
      </x:c>
    </x:row>
    <x:row r="43" ht="15" hidden="0" customHeight="1">
      <x:c r="A43" s="19" t="str">
        <x:v>400-QDD-FR4-8E4O-EML</x:v>
      </x:c>
      <x:c r="B43" s="19" t="str">
        <x:v>C003</x:v>
      </x:c>
      <x:c r="C43" s="19" t="n">
        <x:v>1</x:v>
      </x:c>
      <x:c r="D43" s="19" t="str">
        <x:v>必需</x:v>
      </x:c>
      <x:c r="E43" s="19" t="str">
        <x:v>形态级</x:v>
      </x:c>
      <x:c r="F43" s="19" t="str">
        <x:v>CPO无传统前面板模块拉环</x:v>
      </x:c>
    </x:row>
    <x:row r="44" ht="15" hidden="0" customHeight="1">
      <x:c r="A44" s="19" t="str">
        <x:v>400-QDD-FR4-8E4O-EML</x:v>
      </x:c>
      <x:c r="B44" s="19" t="str">
        <x:v>C004</x:v>
      </x:c>
      <x:c r="C44" s="19" t="n">
        <x:v>1</x:v>
      </x:c>
      <x:c r="D44" s="19" t="str">
        <x:v>必需</x:v>
      </x:c>
      <x:c r="E44" s="19" t="str">
        <x:v>代表性</x:v>
      </x:c>
      <x:c r="F44" s="19" t="str">
        <x:v>EMI屏蔽结构依外壳设计</x:v>
      </x:c>
    </x:row>
    <x:row r="45" ht="15" hidden="0" customHeight="1">
      <x:c r="A45" s="19" t="str">
        <x:v>400-QDD-FR4-8E4O-EML</x:v>
      </x:c>
      <x:c r="B45" s="19" t="str">
        <x:v>C005</x:v>
      </x:c>
      <x:c r="C45" s="19" t="n">
        <x:v>1</x:v>
      </x:c>
      <x:c r="D45" s="19" t="str">
        <x:v>必需</x:v>
      </x:c>
      <x:c r="E45" s="19" t="str">
        <x:v>代表性</x:v>
      </x:c>
      <x:c r="F45" s="19" t="str">
        <x:v>CPO可采用封装基板+系统PCB</x:v>
      </x:c>
    </x:row>
    <x:row r="46" ht="15" hidden="0" customHeight="1">
      <x:c r="A46" s="19" t="str">
        <x:v>400-QDD-FR4-8E4O-EML</x:v>
      </x:c>
      <x:c r="B46" s="19" t="str">
        <x:v>C056</x:v>
      </x:c>
      <x:c r="C46" s="19" t="n">
        <x:v>1</x:v>
      </x:c>
      <x:c r="D46" s="19" t="str">
        <x:v>必需</x:v>
      </x:c>
      <x:c r="E46" s="19" t="str">
        <x:v>形态级</x:v>
      </x:c>
      <x:c r="F46" s="19" t="str">
        <x:v>可插拔模块主机侧金手指/电连接器</x:v>
      </x:c>
    </x:row>
    <x:row r="47" ht="15" hidden="0" customHeight="1">
      <x:c r="A47" s="19" t="str">
        <x:v>400-QDD-FR4-8E4O-EML</x:v>
      </x:c>
      <x:c r="B47" s="19" t="str">
        <x:v>C057</x:v>
      </x:c>
      <x:c r="C47" s="19" t="n">
        <x:v>1</x:v>
      </x:c>
      <x:c r="D47" s="19" t="str">
        <x:v>系统配套</x:v>
      </x:c>
      <x:c r="E47" s="19" t="str">
        <x:v>系统级</x:v>
      </x:c>
      <x:c r="F47" s="19" t="str">
        <x:v>cage不属于模块内采购BOM</x:v>
      </x:c>
    </x:row>
    <x:row r="48" ht="15" hidden="0" customHeight="1">
      <x:c r="A48" s="19" t="str">
        <x:v>400-QDD-FR4-8E4O-EML</x:v>
      </x:c>
      <x:c r="B48" s="19" t="str">
        <x:v>C007</x:v>
      </x:c>
      <x:c r="C48" s="19" t="n">
        <x:v>1</x:v>
      </x:c>
      <x:c r="D48" s="19" t="str">
        <x:v>必需</x:v>
      </x:c>
      <x:c r="E48" s="19" t="str">
        <x:v>代表性</x:v>
      </x:c>
      <x:c r="F48" s="19" t="str">
        <x:v>光引擎承载基板/Interposer</x:v>
      </x:c>
    </x:row>
    <x:row r="49" ht="15" hidden="0" customHeight="1">
      <x:c r="A49" s="19" t="str">
        <x:v>400-QDD-FR4-8E4O-EML</x:v>
      </x:c>
      <x:c r="B49" s="19" t="str">
        <x:v>C008</x:v>
      </x:c>
      <x:c r="C49" s="19" t="n">
        <x:v>1</x:v>
      </x:c>
      <x:c r="D49" s="19" t="str">
        <x:v>必需</x:v>
      </x:c>
      <x:c r="E49" s="19" t="str">
        <x:v>代表性</x:v>
      </x:c>
      <x:c r="F49" s="19" t="str">
        <x:v>数量按功耗域，不等于精确颗数</x:v>
      </x:c>
    </x:row>
    <x:row r="50" ht="15" hidden="0" customHeight="1">
      <x:c r="A50" s="19" t="str">
        <x:v>400-QDD-FR4-8E4O-EML</x:v>
      </x:c>
      <x:c r="B50" s="19" t="str">
        <x:v>C009</x:v>
      </x:c>
      <x:c r="C50" s="19" t="n">
        <x:v>1</x:v>
      </x:c>
      <x:c r="D50" s="19" t="str">
        <x:v>必需</x:v>
      </x:c>
      <x:c r="E50" s="19" t="str">
        <x:v>管理接口</x:v>
      </x:c>
      <x:c r="F50" s="19" t="str">
        <x:v>可插拔模块使用CMIS管理</x:v>
      </x:c>
    </x:row>
    <x:row r="51" ht="15" hidden="0" customHeight="1">
      <x:c r="A51" s="19" t="str">
        <x:v>400-QDD-FR4-8E4O-EML</x:v>
      </x:c>
      <x:c r="B51" s="19" t="str">
        <x:v>C010</x:v>
      </x:c>
      <x:c r="C51" s="19" t="n">
        <x:v>1</x:v>
      </x:c>
      <x:c r="D51" s="19" t="str">
        <x:v>按实现</x:v>
      </x:c>
      <x:c r="E51" s="19" t="str">
        <x:v>代表性</x:v>
      </x:c>
      <x:c r="F51" s="19" t="str">
        <x:v>模块控制与校准</x:v>
      </x:c>
    </x:row>
    <x:row r="52" ht="15" hidden="0" customHeight="1">
      <x:c r="A52" s="19" t="str">
        <x:v>400-QDD-FR4-8E4O-EML</x:v>
      </x:c>
      <x:c r="B52" s="19" t="str">
        <x:v>C058</x:v>
      </x:c>
      <x:c r="C52" s="19" t="n">
        <x:v>1</x:v>
      </x:c>
      <x:c r="D52" s="19" t="str">
        <x:v>按实现</x:v>
      </x:c>
      <x:c r="E52" s="19" t="str">
        <x:v>时钟架构</x:v>
      </x:c>
      <x:c r="F52" s="19" t="str">
        <x:v>可由主机提供REFCLK或使用模块内时钟器件</x:v>
      </x:c>
    </x:row>
    <x:row r="53" ht="15" hidden="0" customHeight="1">
      <x:c r="A53" s="19" t="str">
        <x:v>400-QDD-FR4-8E4O-EML</x:v>
      </x:c>
      <x:c r="B53" s="19" t="str">
        <x:v>C059</x:v>
      </x:c>
      <x:c r="C53" s="19" t="n">
        <x:v>1</x:v>
      </x:c>
      <x:c r="D53" s="19" t="str">
        <x:v>必需/可集成</x:v>
      </x:c>
      <x:c r="E53" s="19" t="str">
        <x:v>监控功能</x:v>
      </x:c>
      <x:c r="F53" s="19" t="str">
        <x:v>CMIS/控制系统温度监测</x:v>
      </x:c>
    </x:row>
    <x:row r="54" ht="15" hidden="0" customHeight="1">
      <x:c r="A54" s="19" t="str">
        <x:v>400-QDD-FR4-8E4O-EML</x:v>
      </x:c>
      <x:c r="B54" s="19" t="str">
        <x:v>C060</x:v>
      </x:c>
      <x:c r="C54" s="19" t="n">
        <x:v>1</x:v>
      </x:c>
      <x:c r="D54" s="19" t="str">
        <x:v>必需</x:v>
      </x:c>
      <x:c r="E54" s="19" t="str">
        <x:v>器件组</x:v>
      </x:c>
      <x:c r="F54" s="19" t="str">
        <x:v>R/C/L数量不按lane数表示</x:v>
      </x:c>
    </x:row>
    <x:row r="55" ht="15" hidden="0" customHeight="1">
      <x:c r="A55" s="19" t="str">
        <x:v>400-QDD-FR4-8E4O-EML</x:v>
      </x:c>
      <x:c r="B55" s="19" t="str">
        <x:v>C062</x:v>
      </x:c>
      <x:c r="C55" s="19" t="n">
        <x:v>1</x:v>
      </x:c>
      <x:c r="D55" s="19" t="str">
        <x:v>按封装</x:v>
      </x:c>
      <x:c r="E55" s="19" t="str">
        <x:v>互连工艺</x:v>
      </x:c>
      <x:c r="F55" s="19" t="str">
        <x:v>flip-chip平台使用</x:v>
      </x:c>
    </x:row>
    <x:row r="56" ht="15" hidden="0" customHeight="1">
      <x:c r="A56" s="19" t="str">
        <x:v>400-QDD-FR4-8E4O-EML</x:v>
      </x:c>
      <x:c r="B56" s="19" t="str">
        <x:v>C063</x:v>
      </x:c>
      <x:c r="C56" s="19" t="n">
        <x:v>1</x:v>
      </x:c>
      <x:c r="D56" s="19" t="str">
        <x:v>按封装</x:v>
      </x:c>
      <x:c r="E56" s="19" t="str">
        <x:v>互连工艺</x:v>
      </x:c>
      <x:c r="F56" s="19" t="str">
        <x:v>wire/ribbon bond平台使用</x:v>
      </x:c>
    </x:row>
    <x:row r="57" ht="15" hidden="0" customHeight="1">
      <x:c r="A57" s="19" t="str">
        <x:v>400-QDD-FR4-8E4O-EML</x:v>
      </x:c>
      <x:c r="B57" s="19" t="str">
        <x:v>C011</x:v>
      </x:c>
      <x:c r="C57" s="19" t="n">
        <x:v>1</x:v>
      </x:c>
      <x:c r="D57" s="19" t="str">
        <x:v>必需</x:v>
      </x:c>
      <x:c r="E57" s="19" t="str">
        <x:v>架构级</x:v>
      </x:c>
      <x:c r="F57" s="19" t="str">
        <x:v>含DSP/Gearbox</x:v>
      </x:c>
    </x:row>
    <x:row r="58" ht="15" hidden="0" customHeight="1">
      <x:c r="A58" s="19" t="str">
        <x:v>400-QDD-FR4-8E4O-EML</x:v>
      </x:c>
      <x:c r="B58" s="19" t="str">
        <x:v>C012</x:v>
      </x:c>
      <x:c r="C58" s="19" t="n">
        <x:v>1</x:v>
      </x:c>
      <x:c r="D58" s="19" t="str">
        <x:v>必需</x:v>
      </x:c>
      <x:c r="E58" s="19" t="str">
        <x:v>通道级</x:v>
      </x:c>
      <x:c r="F58" s="19" t="str">
        <x:v>8×50G→4×100G</x:v>
      </x:c>
    </x:row>
    <x:row r="59" ht="15" hidden="0" customHeight="1">
      <x:c r="A59" s="19" t="str">
        <x:v>400-QDD-FR4-8E4O-EML</x:v>
      </x:c>
      <x:c r="B59" s="19" t="str">
        <x:v>C014</x:v>
      </x:c>
      <x:c r="C59" s="19" t="n">
        <x:v>4</x:v>
      </x:c>
      <x:c r="D59" s="19" t="str">
        <x:v>必需</x:v>
      </x:c>
      <x:c r="E59" s="19" t="str">
        <x:v>功能通道数</x:v>
      </x:c>
      <x:c r="F59" s="19" t="str">
        <x:v>可能为阵列/多通道die，非精确封装颗数</x:v>
      </x:c>
    </x:row>
    <x:row r="60" ht="15" hidden="0" customHeight="1">
      <x:c r="A60" s="19" t="str">
        <x:v>400-QDD-FR4-8E4O-EML</x:v>
      </x:c>
      <x:c r="B60" s="19" t="str">
        <x:v>C015</x:v>
      </x:c>
      <x:c r="C60" s="19" t="n">
        <x:v>4</x:v>
      </x:c>
      <x:c r="D60" s="19" t="str">
        <x:v>必需</x:v>
      </x:c>
      <x:c r="E60" s="19" t="str">
        <x:v>功能通道数</x:v>
      </x:c>
      <x:c r="F60" s="19" t="str">
        <x:v>可能为阵列/多通道die，非精确封装颗数</x:v>
      </x:c>
    </x:row>
    <x:row r="61" ht="15" hidden="0" customHeight="1">
      <x:c r="A61" s="19" t="str">
        <x:v>400-QDD-FR4-8E4O-EML</x:v>
      </x:c>
      <x:c r="B61" s="19" t="str">
        <x:v>C021</x:v>
      </x:c>
      <x:c r="C61" s="19" t="n">
        <x:v>4</x:v>
      </x:c>
      <x:c r="D61" s="19" t="str">
        <x:v>必需</x:v>
      </x:c>
      <x:c r="E61" s="19" t="str">
        <x:v>光通道</x:v>
      </x:c>
      <x:c r="F61" s="19" t="str">
        <x:v>可为阵列/多通道封装</x:v>
      </x:c>
    </x:row>
    <x:row r="62" ht="15" hidden="0" customHeight="1">
      <x:c r="A62" s="19" t="str">
        <x:v>400-QDD-FR4-8E4O-EML</x:v>
      </x:c>
      <x:c r="B62" s="19" t="str">
        <x:v>C022</x:v>
      </x:c>
      <x:c r="C62" s="19" t="n">
        <x:v>4</x:v>
      </x:c>
      <x:c r="D62" s="19" t="str">
        <x:v>内嵌</x:v>
      </x:c>
      <x:c r="E62" s="19" t="str">
        <x:v>微结构</x:v>
      </x:c>
      <x:c r="F62" s="19" t="str">
        <x:v>DFB/DBR波长选择结构</x:v>
      </x:c>
    </x:row>
    <x:row r="63" ht="15" hidden="0" customHeight="1">
      <x:c r="A63" s="19" t="str">
        <x:v>400-QDD-FR4-8E4O-EML</x:v>
      </x:c>
      <x:c r="B63" s="19" t="str">
        <x:v>C067</x:v>
      </x:c>
      <x:c r="C63" s="19" t="n">
        <x:v>4</x:v>
      </x:c>
      <x:c r="D63" s="19" t="str">
        <x:v>内嵌</x:v>
      </x:c>
      <x:c r="E63" s="19" t="str">
        <x:v>微结构</x:v>
      </x:c>
      <x:c r="F63" s="19" t="str">
        <x:v>EML内部EAM调制区</x:v>
      </x:c>
    </x:row>
    <x:row r="64" ht="15" hidden="0" customHeight="1">
      <x:c r="A64" s="19" t="str">
        <x:v>400-QDD-FR4-8E4O-EML</x:v>
      </x:c>
      <x:c r="B64" s="19" t="str">
        <x:v>C068</x:v>
      </x:c>
      <x:c r="C64" s="19" t="n">
        <x:v>4</x:v>
      </x:c>
      <x:c r="D64" s="19" t="str">
        <x:v>内嵌</x:v>
      </x:c>
      <x:c r="E64" s="19" t="str">
        <x:v>微结构</x:v>
      </x:c>
      <x:c r="F64" s="19" t="str">
        <x:v>激光器/调制器量子阱有源区</x:v>
      </x:c>
    </x:row>
    <x:row r="65" ht="15" hidden="0" customHeight="1">
      <x:c r="A65" s="19" t="str">
        <x:v>400-QDD-FR4-8E4O-EML</x:v>
      </x:c>
      <x:c r="B65" s="19" t="str">
        <x:v>C069</x:v>
      </x:c>
      <x:c r="C65" s="19" t="n">
        <x:v>4</x:v>
      </x:c>
      <x:c r="D65" s="19" t="str">
        <x:v>内嵌</x:v>
      </x:c>
      <x:c r="E65" s="19" t="str">
        <x:v>工艺</x:v>
      </x:c>
      <x:c r="F65" s="19" t="str">
        <x:v>端面AR/HR膜</x:v>
      </x:c>
    </x:row>
    <x:row r="66" ht="15" hidden="0" customHeight="1">
      <x:c r="A66" s="19" t="str">
        <x:v>400-QDD-FR4-8E4O-EML</x:v>
      </x:c>
      <x:c r="B66" s="19" t="str">
        <x:v>C061</x:v>
      </x:c>
      <x:c r="C66" s="19" t="n">
        <x:v>1</x:v>
      </x:c>
      <x:c r="D66" s="19" t="str">
        <x:v>必需</x:v>
      </x:c>
      <x:c r="E66" s="19" t="str">
        <x:v>封装</x:v>
      </x:c>
      <x:c r="F66" s="19" t="str">
        <x:v>EML/PD阵列承载</x:v>
      </x:c>
    </x:row>
    <x:row r="67" ht="15" hidden="0" customHeight="1">
      <x:c r="A67" s="19" t="str">
        <x:v>400-QDD-FR4-8E4O-EML</x:v>
      </x:c>
      <x:c r="B67" s="19" t="str">
        <x:v>C031</x:v>
      </x:c>
      <x:c r="C67" s="19" t="n">
        <x:v>4</x:v>
      </x:c>
      <x:c r="D67" s="19" t="str">
        <x:v>必需</x:v>
      </x:c>
      <x:c r="E67" s="19" t="str">
        <x:v>光通道</x:v>
      </x:c>
      <x:c r="F67" s="19" t="str">
        <x:v>InGaAs PIN</x:v>
      </x:c>
    </x:row>
    <x:row r="68" ht="15" hidden="0" customHeight="1">
      <x:c r="A68" s="19" t="str">
        <x:v>400-QDD-FR4-8E4O-EML</x:v>
      </x:c>
      <x:c r="B68" s="19" t="str">
        <x:v>C049</x:v>
      </x:c>
      <x:c r="C68" s="19" t="n">
        <x:v>4</x:v>
      </x:c>
      <x:c r="D68" s="19" t="str">
        <x:v>必需</x:v>
      </x:c>
      <x:c r="E68" s="19" t="str">
        <x:v>光纤通道</x:v>
      </x:c>
      <x:c r="F68" s="19" t="str">
        <x:v>SMF</x:v>
      </x:c>
    </x:row>
    <x:row r="69" ht="15" hidden="0" customHeight="1">
      <x:c r="A69" s="19" t="str">
        <x:v>400-QDD-FR4-8E4O-EML</x:v>
      </x:c>
      <x:c r="B69" s="19" t="str">
        <x:v>C034</x:v>
      </x:c>
      <x:c r="C69" s="19" t="n">
        <x:v>1</x:v>
      </x:c>
      <x:c r="D69" s="19" t="str">
        <x:v>必需</x:v>
      </x:c>
      <x:c r="E69" s="19" t="str">
        <x:v>端口/波分组</x:v>
      </x:c>
      <x:c r="F69" s="19" t="str">
        <x:v>4λ CWDM</x:v>
      </x:c>
    </x:row>
    <x:row r="70" ht="15" hidden="0" customHeight="1">
      <x:c r="A70" s="19" t="str">
        <x:v>400-QDD-FR4-8E4O-EML</x:v>
      </x:c>
      <x:c r="B70" s="19" t="str">
        <x:v>C035</x:v>
      </x:c>
      <x:c r="C70" s="19" t="n">
        <x:v>1</x:v>
      </x:c>
      <x:c r="D70" s="19" t="str">
        <x:v>实现选项</x:v>
      </x:c>
      <x:c r="E70" s="19" t="str">
        <x:v>微结构</x:v>
      </x:c>
      <x:c r="F70" s="19" t="str">
        <x:v>AWG为MUX/DEMUX的一种实现</x:v>
      </x:c>
    </x:row>
    <x:row r="71" ht="15" hidden="0" customHeight="1">
      <x:c r="A71" s="19" t="str">
        <x:v>400-QDD-FR4-8E4O-EML</x:v>
      </x:c>
      <x:c r="B71" s="19" t="str">
        <x:v>C036</x:v>
      </x:c>
      <x:c r="C71" s="19" t="n">
        <x:v>1</x:v>
      </x:c>
      <x:c r="D71" s="19" t="str">
        <x:v>实现选项</x:v>
      </x:c>
      <x:c r="E71" s="19" t="str">
        <x:v>微结构</x:v>
      </x:c>
      <x:c r="F71" s="19" t="str">
        <x:v>TFF为MUX/DEMUX的另一种实现</x:v>
      </x:c>
    </x:row>
    <x:row r="72" ht="15" hidden="0" customHeight="1">
      <x:c r="A72" s="19" t="str">
        <x:v>400-QDD-FR4-8E4O-EML</x:v>
      </x:c>
      <x:c r="B72" s="19" t="str">
        <x:v>C037</x:v>
      </x:c>
      <x:c r="C72" s="19" t="n">
        <x:v>4</x:v>
      </x:c>
      <x:c r="D72" s="19" t="str">
        <x:v>按实现</x:v>
      </x:c>
      <x:c r="E72" s="19" t="str">
        <x:v>光通道</x:v>
      </x:c>
      <x:c r="F72" s="19" t="str">
        <x:v>自由空间/阵列耦合时使用</x:v>
      </x:c>
    </x:row>
    <x:row r="73" ht="15" hidden="0" customHeight="1">
      <x:c r="A73" s="19" t="str">
        <x:v>400-QDD-FR4-8E4O-EML</x:v>
      </x:c>
      <x:c r="B73" s="19" t="str">
        <x:v>C038</x:v>
      </x:c>
      <x:c r="C73" s="19" t="n">
        <x:v>4</x:v>
      </x:c>
      <x:c r="D73" s="19" t="str">
        <x:v>按实现</x:v>
      </x:c>
      <x:c r="E73" s="19" t="str">
        <x:v>光通道</x:v>
      </x:c>
      <x:c r="F73" s="19" t="str">
        <x:v>FAU可能按阵列封装，不等于单根数量</x:v>
      </x:c>
    </x:row>
    <x:row r="74" ht="15" hidden="0" customHeight="1">
      <x:c r="A74" s="19" t="str">
        <x:v>400-QDD-FR4-8E4O-EML</x:v>
      </x:c>
      <x:c r="B74" s="19" t="str">
        <x:v>C047</x:v>
      </x:c>
      <x:c r="C74" s="19" t="n">
        <x:v>1</x:v>
      </x:c>
      <x:c r="D74" s="19" t="str">
        <x:v>必需</x:v>
      </x:c>
      <x:c r="E74" s="19" t="str">
        <x:v>连接器级</x:v>
      </x:c>
      <x:c r="F74" s="19" t="str">
        <x:v>LC</x:v>
      </x:c>
    </x:row>
    <x:row r="75" ht="15" hidden="0" customHeight="1">
      <x:c r="A75" s="19" t="str">
        <x:v>400-QDD-FR4-8E4O-EML</x:v>
      </x:c>
      <x:c r="B75" s="19" t="str">
        <x:v>C053</x:v>
      </x:c>
      <x:c r="C75" s="19" t="n">
        <x:v>1</x:v>
      </x:c>
      <x:c r="D75" s="19" t="str">
        <x:v>必需</x:v>
      </x:c>
      <x:c r="E75" s="19" t="str">
        <x:v>热管理</x:v>
      </x:c>
      <x:c r="F75" s="19" t="str">
        <x:v>TIM</x:v>
      </x:c>
    </x:row>
    <x:row r="76" ht="15" hidden="0" customHeight="1">
      <x:c r="A76" s="19" t="str">
        <x:v>400-QDD-FR4-8E4O-EML</x:v>
      </x:c>
      <x:c r="B76" s="19" t="str">
        <x:v>C054</x:v>
      </x:c>
      <x:c r="C76" s="19" t="n">
        <x:v>1</x:v>
      </x:c>
      <x:c r="D76" s="19" t="str">
        <x:v>按实现</x:v>
      </x:c>
      <x:c r="E76" s="19" t="str">
        <x:v>封装</x:v>
      </x:c>
      <x:c r="F76" s="19" t="str">
        <x:v>光学胶/底填</x:v>
      </x:c>
    </x:row>
    <x:row r="77" ht="15" hidden="0" customHeight="1">
      <x:c r="A77" s="19" t="str">
        <x:v>400-QDD-DR4-8E4O-EML</x:v>
      </x:c>
      <x:c r="B77" s="19" t="str">
        <x:v>C001</x:v>
      </x:c>
      <x:c r="C77" s="19" t="n">
        <x:v>1</x:v>
      </x:c>
      <x:c r="D77" s="19" t="str">
        <x:v>必需</x:v>
      </x:c>
      <x:c r="E77" s="19" t="str">
        <x:v>形态级</x:v>
      </x:c>
      <x:c r="F77" s="19" t="str">
        <x:v>QSFP-DD</x:v>
      </x:c>
    </x:row>
    <x:row r="78" ht="15" hidden="0" customHeight="1">
      <x:c r="A78" s="19" t="str">
        <x:v>400-QDD-DR4-8E4O-EML</x:v>
      </x:c>
      <x:c r="B78" s="19" t="str">
        <x:v>C002</x:v>
      </x:c>
      <x:c r="C78" s="19" t="n">
        <x:v>1</x:v>
      </x:c>
      <x:c r="D78" s="19" t="str">
        <x:v>必需</x:v>
      </x:c>
      <x:c r="E78" s="19" t="str">
        <x:v>形态级</x:v>
      </x:c>
      <x:c r="F78" s="19" t="str">
        <x:v>散热能力需按功耗校核</x:v>
      </x:c>
    </x:row>
    <x:row r="79" ht="15" hidden="0" customHeight="1">
      <x:c r="A79" s="19" t="str">
        <x:v>400-QDD-DR4-8E4O-EML</x:v>
      </x:c>
      <x:c r="B79" s="19" t="str">
        <x:v>C003</x:v>
      </x:c>
      <x:c r="C79" s="19" t="n">
        <x:v>1</x:v>
      </x:c>
      <x:c r="D79" s="19" t="str">
        <x:v>必需</x:v>
      </x:c>
      <x:c r="E79" s="19" t="str">
        <x:v>形态级</x:v>
      </x:c>
      <x:c r="F79" s="19" t="str">
        <x:v>CPO无传统前面板模块拉环</x:v>
      </x:c>
    </x:row>
    <x:row r="80" ht="15" hidden="0" customHeight="1">
      <x:c r="A80" s="19" t="str">
        <x:v>400-QDD-DR4-8E4O-EML</x:v>
      </x:c>
      <x:c r="B80" s="19" t="str">
        <x:v>C004</x:v>
      </x:c>
      <x:c r="C80" s="19" t="n">
        <x:v>1</x:v>
      </x:c>
      <x:c r="D80" s="19" t="str">
        <x:v>必需</x:v>
      </x:c>
      <x:c r="E80" s="19" t="str">
        <x:v>代表性</x:v>
      </x:c>
      <x:c r="F80" s="19" t="str">
        <x:v>EMI屏蔽结构依外壳设计</x:v>
      </x:c>
    </x:row>
    <x:row r="81" ht="15" hidden="0" customHeight="1">
      <x:c r="A81" s="19" t="str">
        <x:v>400-QDD-DR4-8E4O-EML</x:v>
      </x:c>
      <x:c r="B81" s="19" t="str">
        <x:v>C005</x:v>
      </x:c>
      <x:c r="C81" s="19" t="n">
        <x:v>1</x:v>
      </x:c>
      <x:c r="D81" s="19" t="str">
        <x:v>必需</x:v>
      </x:c>
      <x:c r="E81" s="19" t="str">
        <x:v>代表性</x:v>
      </x:c>
      <x:c r="F81" s="19" t="str">
        <x:v>CPO可采用封装基板+系统PCB</x:v>
      </x:c>
    </x:row>
    <x:row r="82" ht="15" hidden="0" customHeight="1">
      <x:c r="A82" s="19" t="str">
        <x:v>400-QDD-DR4-8E4O-EML</x:v>
      </x:c>
      <x:c r="B82" s="19" t="str">
        <x:v>C056</x:v>
      </x:c>
      <x:c r="C82" s="19" t="n">
        <x:v>1</x:v>
      </x:c>
      <x:c r="D82" s="19" t="str">
        <x:v>必需</x:v>
      </x:c>
      <x:c r="E82" s="19" t="str">
        <x:v>形态级</x:v>
      </x:c>
      <x:c r="F82" s="19" t="str">
        <x:v>可插拔模块主机侧金手指/电连接器</x:v>
      </x:c>
    </x:row>
    <x:row r="83" ht="15" hidden="0" customHeight="1">
      <x:c r="A83" s="19" t="str">
        <x:v>400-QDD-DR4-8E4O-EML</x:v>
      </x:c>
      <x:c r="B83" s="19" t="str">
        <x:v>C057</x:v>
      </x:c>
      <x:c r="C83" s="19" t="n">
        <x:v>1</x:v>
      </x:c>
      <x:c r="D83" s="19" t="str">
        <x:v>系统配套</x:v>
      </x:c>
      <x:c r="E83" s="19" t="str">
        <x:v>系统级</x:v>
      </x:c>
      <x:c r="F83" s="19" t="str">
        <x:v>cage不属于模块内采购BOM</x:v>
      </x:c>
    </x:row>
    <x:row r="84" ht="15" hidden="0" customHeight="1">
      <x:c r="A84" s="19" t="str">
        <x:v>400-QDD-DR4-8E4O-EML</x:v>
      </x:c>
      <x:c r="B84" s="19" t="str">
        <x:v>C007</x:v>
      </x:c>
      <x:c r="C84" s="19" t="n">
        <x:v>1</x:v>
      </x:c>
      <x:c r="D84" s="19" t="str">
        <x:v>必需</x:v>
      </x:c>
      <x:c r="E84" s="19" t="str">
        <x:v>代表性</x:v>
      </x:c>
      <x:c r="F84" s="19" t="str">
        <x:v>光引擎承载基板/Interposer</x:v>
      </x:c>
    </x:row>
    <x:row r="85" ht="15" hidden="0" customHeight="1">
      <x:c r="A85" s="19" t="str">
        <x:v>400-QDD-DR4-8E4O-EML</x:v>
      </x:c>
      <x:c r="B85" s="19" t="str">
        <x:v>C008</x:v>
      </x:c>
      <x:c r="C85" s="19" t="n">
        <x:v>1</x:v>
      </x:c>
      <x:c r="D85" s="19" t="str">
        <x:v>必需</x:v>
      </x:c>
      <x:c r="E85" s="19" t="str">
        <x:v>代表性</x:v>
      </x:c>
      <x:c r="F85" s="19" t="str">
        <x:v>数量按功耗域，不等于精确颗数</x:v>
      </x:c>
    </x:row>
    <x:row r="86" ht="15" hidden="0" customHeight="1">
      <x:c r="A86" s="19" t="str">
        <x:v>400-QDD-DR4-8E4O-EML</x:v>
      </x:c>
      <x:c r="B86" s="19" t="str">
        <x:v>C009</x:v>
      </x:c>
      <x:c r="C86" s="19" t="n">
        <x:v>1</x:v>
      </x:c>
      <x:c r="D86" s="19" t="str">
        <x:v>必需</x:v>
      </x:c>
      <x:c r="E86" s="19" t="str">
        <x:v>管理接口</x:v>
      </x:c>
      <x:c r="F86" s="19" t="str">
        <x:v>可插拔模块使用CMIS管理</x:v>
      </x:c>
    </x:row>
    <x:row r="87" ht="15" hidden="0" customHeight="1">
      <x:c r="A87" s="19" t="str">
        <x:v>400-QDD-DR4-8E4O-EML</x:v>
      </x:c>
      <x:c r="B87" s="19" t="str">
        <x:v>C010</x:v>
      </x:c>
      <x:c r="C87" s="19" t="n">
        <x:v>1</x:v>
      </x:c>
      <x:c r="D87" s="19" t="str">
        <x:v>按实现</x:v>
      </x:c>
      <x:c r="E87" s="19" t="str">
        <x:v>代表性</x:v>
      </x:c>
      <x:c r="F87" s="19" t="str">
        <x:v>模块控制与校准</x:v>
      </x:c>
    </x:row>
    <x:row r="88" ht="15" hidden="0" customHeight="1">
      <x:c r="A88" s="19" t="str">
        <x:v>400-QDD-DR4-8E4O-EML</x:v>
      </x:c>
      <x:c r="B88" s="19" t="str">
        <x:v>C058</x:v>
      </x:c>
      <x:c r="C88" s="19" t="n">
        <x:v>1</x:v>
      </x:c>
      <x:c r="D88" s="19" t="str">
        <x:v>按实现</x:v>
      </x:c>
      <x:c r="E88" s="19" t="str">
        <x:v>时钟架构</x:v>
      </x:c>
      <x:c r="F88" s="19" t="str">
        <x:v>可由主机提供REFCLK或使用模块内时钟器件</x:v>
      </x:c>
    </x:row>
    <x:row r="89" ht="15" hidden="0" customHeight="1">
      <x:c r="A89" s="19" t="str">
        <x:v>400-QDD-DR4-8E4O-EML</x:v>
      </x:c>
      <x:c r="B89" s="19" t="str">
        <x:v>C059</x:v>
      </x:c>
      <x:c r="C89" s="19" t="n">
        <x:v>1</x:v>
      </x:c>
      <x:c r="D89" s="19" t="str">
        <x:v>必需/可集成</x:v>
      </x:c>
      <x:c r="E89" s="19" t="str">
        <x:v>监控功能</x:v>
      </x:c>
      <x:c r="F89" s="19" t="str">
        <x:v>CMIS/控制系统温度监测</x:v>
      </x:c>
    </x:row>
    <x:row r="90" ht="15" hidden="0" customHeight="1">
      <x:c r="A90" s="19" t="str">
        <x:v>400-QDD-DR4-8E4O-EML</x:v>
      </x:c>
      <x:c r="B90" s="19" t="str">
        <x:v>C060</x:v>
      </x:c>
      <x:c r="C90" s="19" t="n">
        <x:v>1</x:v>
      </x:c>
      <x:c r="D90" s="19" t="str">
        <x:v>必需</x:v>
      </x:c>
      <x:c r="E90" s="19" t="str">
        <x:v>器件组</x:v>
      </x:c>
      <x:c r="F90" s="19" t="str">
        <x:v>R/C/L数量不按lane数表示</x:v>
      </x:c>
    </x:row>
    <x:row r="91" ht="15" hidden="0" customHeight="1">
      <x:c r="A91" s="19" t="str">
        <x:v>400-QDD-DR4-8E4O-EML</x:v>
      </x:c>
      <x:c r="B91" s="19" t="str">
        <x:v>C062</x:v>
      </x:c>
      <x:c r="C91" s="19" t="n">
        <x:v>1</x:v>
      </x:c>
      <x:c r="D91" s="19" t="str">
        <x:v>按封装</x:v>
      </x:c>
      <x:c r="E91" s="19" t="str">
        <x:v>互连工艺</x:v>
      </x:c>
      <x:c r="F91" s="19" t="str">
        <x:v>flip-chip平台使用</x:v>
      </x:c>
    </x:row>
    <x:row r="92" ht="15" hidden="0" customHeight="1">
      <x:c r="A92" s="19" t="str">
        <x:v>400-QDD-DR4-8E4O-EML</x:v>
      </x:c>
      <x:c r="B92" s="19" t="str">
        <x:v>C063</x:v>
      </x:c>
      <x:c r="C92" s="19" t="n">
        <x:v>1</x:v>
      </x:c>
      <x:c r="D92" s="19" t="str">
        <x:v>按封装</x:v>
      </x:c>
      <x:c r="E92" s="19" t="str">
        <x:v>互连工艺</x:v>
      </x:c>
      <x:c r="F92" s="19" t="str">
        <x:v>wire/ribbon bond平台使用</x:v>
      </x:c>
    </x:row>
    <x:row r="93" ht="15" hidden="0" customHeight="1">
      <x:c r="A93" s="19" t="str">
        <x:v>400-QDD-DR4-8E4O-EML</x:v>
      </x:c>
      <x:c r="B93" s="19" t="str">
        <x:v>C011</x:v>
      </x:c>
      <x:c r="C93" s="19" t="n">
        <x:v>1</x:v>
      </x:c>
      <x:c r="D93" s="19" t="str">
        <x:v>必需</x:v>
      </x:c>
      <x:c r="E93" s="19" t="str">
        <x:v>架构级</x:v>
      </x:c>
      <x:c r="F93" s="19" t="str">
        <x:v>含DSP/Gearbox</x:v>
      </x:c>
    </x:row>
    <x:row r="94" ht="15" hidden="0" customHeight="1">
      <x:c r="A94" s="19" t="str">
        <x:v>400-QDD-DR4-8E4O-EML</x:v>
      </x:c>
      <x:c r="B94" s="19" t="str">
        <x:v>C012</x:v>
      </x:c>
      <x:c r="C94" s="19" t="n">
        <x:v>1</x:v>
      </x:c>
      <x:c r="D94" s="19" t="str">
        <x:v>必需</x:v>
      </x:c>
      <x:c r="E94" s="19" t="str">
        <x:v>通道级</x:v>
      </x:c>
      <x:c r="F94" s="19" t="str">
        <x:v>8×50G→4×100G</x:v>
      </x:c>
    </x:row>
    <x:row r="95" ht="15" hidden="0" customHeight="1">
      <x:c r="A95" s="19" t="str">
        <x:v>400-QDD-DR4-8E4O-EML</x:v>
      </x:c>
      <x:c r="B95" s="19" t="str">
        <x:v>C014</x:v>
      </x:c>
      <x:c r="C95" s="19" t="n">
        <x:v>4</x:v>
      </x:c>
      <x:c r="D95" s="19" t="str">
        <x:v>必需</x:v>
      </x:c>
      <x:c r="E95" s="19" t="str">
        <x:v>功能通道数</x:v>
      </x:c>
      <x:c r="F95" s="19" t="str">
        <x:v>可能为阵列/多通道die，非精确封装颗数</x:v>
      </x:c>
    </x:row>
    <x:row r="96" ht="15" hidden="0" customHeight="1">
      <x:c r="A96" s="19" t="str">
        <x:v>400-QDD-DR4-8E4O-EML</x:v>
      </x:c>
      <x:c r="B96" s="19" t="str">
        <x:v>C015</x:v>
      </x:c>
      <x:c r="C96" s="19" t="n">
        <x:v>4</x:v>
      </x:c>
      <x:c r="D96" s="19" t="str">
        <x:v>必需</x:v>
      </x:c>
      <x:c r="E96" s="19" t="str">
        <x:v>功能通道数</x:v>
      </x:c>
      <x:c r="F96" s="19" t="str">
        <x:v>可能为阵列/多通道die，非精确封装颗数</x:v>
      </x:c>
    </x:row>
    <x:row r="97" ht="15" hidden="0" customHeight="1">
      <x:c r="A97" s="19" t="str">
        <x:v>400-QDD-DR4-8E4O-EML</x:v>
      </x:c>
      <x:c r="B97" s="19" t="str">
        <x:v>C021</x:v>
      </x:c>
      <x:c r="C97" s="19" t="n">
        <x:v>4</x:v>
      </x:c>
      <x:c r="D97" s="19" t="str">
        <x:v>必需</x:v>
      </x:c>
      <x:c r="E97" s="19" t="str">
        <x:v>光通道</x:v>
      </x:c>
      <x:c r="F97" s="19" t="str">
        <x:v>可为阵列/多通道封装</x:v>
      </x:c>
    </x:row>
    <x:row r="98" ht="15" hidden="0" customHeight="1">
      <x:c r="A98" s="19" t="str">
        <x:v>400-QDD-DR4-8E4O-EML</x:v>
      </x:c>
      <x:c r="B98" s="19" t="str">
        <x:v>C022</x:v>
      </x:c>
      <x:c r="C98" s="19" t="n">
        <x:v>4</x:v>
      </x:c>
      <x:c r="D98" s="19" t="str">
        <x:v>内嵌</x:v>
      </x:c>
      <x:c r="E98" s="19" t="str">
        <x:v>微结构</x:v>
      </x:c>
      <x:c r="F98" s="19" t="str">
        <x:v>DFB/DBR波长选择结构</x:v>
      </x:c>
    </x:row>
    <x:row r="99" ht="15" hidden="0" customHeight="1">
      <x:c r="A99" s="19" t="str">
        <x:v>400-QDD-DR4-8E4O-EML</x:v>
      </x:c>
      <x:c r="B99" s="19" t="str">
        <x:v>C067</x:v>
      </x:c>
      <x:c r="C99" s="19" t="n">
        <x:v>4</x:v>
      </x:c>
      <x:c r="D99" s="19" t="str">
        <x:v>内嵌</x:v>
      </x:c>
      <x:c r="E99" s="19" t="str">
        <x:v>微结构</x:v>
      </x:c>
      <x:c r="F99" s="19" t="str">
        <x:v>EML内部EAM调制区</x:v>
      </x:c>
    </x:row>
    <x:row r="100" ht="15" hidden="0" customHeight="1">
      <x:c r="A100" s="19" t="str">
        <x:v>400-QDD-DR4-8E4O-EML</x:v>
      </x:c>
      <x:c r="B100" s="19" t="str">
        <x:v>C068</x:v>
      </x:c>
      <x:c r="C100" s="19" t="n">
        <x:v>4</x:v>
      </x:c>
      <x:c r="D100" s="19" t="str">
        <x:v>内嵌</x:v>
      </x:c>
      <x:c r="E100" s="19" t="str">
        <x:v>微结构</x:v>
      </x:c>
      <x:c r="F100" s="19" t="str">
        <x:v>激光器/调制器量子阱有源区</x:v>
      </x:c>
    </x:row>
    <x:row r="101" ht="15" hidden="0" customHeight="1">
      <x:c r="A101" s="19" t="str">
        <x:v>400-QDD-DR4-8E4O-EML</x:v>
      </x:c>
      <x:c r="B101" s="19" t="str">
        <x:v>C069</x:v>
      </x:c>
      <x:c r="C101" s="19" t="n">
        <x:v>4</x:v>
      </x:c>
      <x:c r="D101" s="19" t="str">
        <x:v>内嵌</x:v>
      </x:c>
      <x:c r="E101" s="19" t="str">
        <x:v>工艺</x:v>
      </x:c>
      <x:c r="F101" s="19" t="str">
        <x:v>端面AR/HR膜</x:v>
      </x:c>
    </x:row>
    <x:row r="102" ht="15" hidden="0" customHeight="1">
      <x:c r="A102" s="19" t="str">
        <x:v>400-QDD-DR4-8E4O-EML</x:v>
      </x:c>
      <x:c r="B102" s="19" t="str">
        <x:v>C061</x:v>
      </x:c>
      <x:c r="C102" s="19" t="n">
        <x:v>1</x:v>
      </x:c>
      <x:c r="D102" s="19" t="str">
        <x:v>必需</x:v>
      </x:c>
      <x:c r="E102" s="19" t="str">
        <x:v>封装</x:v>
      </x:c>
      <x:c r="F102" s="19" t="str">
        <x:v>EML/PD阵列承载</x:v>
      </x:c>
    </x:row>
    <x:row r="103" ht="15" hidden="0" customHeight="1">
      <x:c r="A103" s="19" t="str">
        <x:v>400-QDD-DR4-8E4O-EML</x:v>
      </x:c>
      <x:c r="B103" s="19" t="str">
        <x:v>C031</x:v>
      </x:c>
      <x:c r="C103" s="19" t="n">
        <x:v>4</x:v>
      </x:c>
      <x:c r="D103" s="19" t="str">
        <x:v>必需</x:v>
      </x:c>
      <x:c r="E103" s="19" t="str">
        <x:v>光通道</x:v>
      </x:c>
      <x:c r="F103" s="19" t="str">
        <x:v>InGaAs PIN</x:v>
      </x:c>
    </x:row>
    <x:row r="104" ht="15" hidden="0" customHeight="1">
      <x:c r="A104" s="19" t="str">
        <x:v>400-QDD-DR4-8E4O-EML</x:v>
      </x:c>
      <x:c r="B104" s="19" t="str">
        <x:v>C049</x:v>
      </x:c>
      <x:c r="C104" s="19" t="n">
        <x:v>4</x:v>
      </x:c>
      <x:c r="D104" s="19" t="str">
        <x:v>必需</x:v>
      </x:c>
      <x:c r="E104" s="19" t="str">
        <x:v>光纤通道</x:v>
      </x:c>
      <x:c r="F104" s="19" t="str">
        <x:v>PSM SMF</x:v>
      </x:c>
    </x:row>
    <x:row r="105" ht="15" hidden="0" customHeight="1">
      <x:c r="A105" s="19"/>
      <x:c r="B105" s="19"/>
      <x:c r="C105" s="19"/>
      <x:c r="D105" s="19"/>
      <x:c r="E105" s="19"/>
      <x:c r="F105" s="19"/>
    </x:row>
    <x:row r="106" ht="15" hidden="0" customHeight="1">
      <x:c r="A106" s="19"/>
      <x:c r="B106" s="19"/>
      <x:c r="C106" s="19"/>
      <x:c r="D106" s="19"/>
      <x:c r="E106" s="19"/>
      <x:c r="F106" s="19"/>
    </x:row>
    <x:row r="107" ht="15" hidden="0" customHeight="1">
      <x:c r="A107" s="19"/>
      <x:c r="B107" s="19"/>
      <x:c r="C107" s="19"/>
      <x:c r="D107" s="19"/>
      <x:c r="E107" s="19"/>
      <x:c r="F107" s="19"/>
    </x:row>
    <x:row r="108" ht="15" hidden="0" customHeight="1">
      <x:c r="A108" s="19" t="str">
        <x:v>400-QDD-DR4-8E4O-EML</x:v>
      </x:c>
      <x:c r="B108" s="19" t="str">
        <x:v>C037</x:v>
      </x:c>
      <x:c r="C108" s="19" t="n">
        <x:v>4</x:v>
      </x:c>
      <x:c r="D108" s="19" t="str">
        <x:v>按实现</x:v>
      </x:c>
      <x:c r="E108" s="19" t="str">
        <x:v>光通道</x:v>
      </x:c>
      <x:c r="F108" s="19" t="str">
        <x:v>自由空间/阵列耦合时使用</x:v>
      </x:c>
    </x:row>
    <x:row r="109" ht="15" hidden="0" customHeight="1">
      <x:c r="A109" s="19" t="str">
        <x:v>400-QDD-DR4-8E4O-EML</x:v>
      </x:c>
      <x:c r="B109" s="19" t="str">
        <x:v>C038</x:v>
      </x:c>
      <x:c r="C109" s="19" t="n">
        <x:v>4</x:v>
      </x:c>
      <x:c r="D109" s="19" t="str">
        <x:v>按实现</x:v>
      </x:c>
      <x:c r="E109" s="19" t="str">
        <x:v>光通道</x:v>
      </x:c>
      <x:c r="F109" s="19" t="str">
        <x:v>FAU可能按阵列封装，不等于单根数量</x:v>
      </x:c>
    </x:row>
    <x:row r="110" ht="15" hidden="0" customHeight="1">
      <x:c r="A110" s="19" t="str">
        <x:v>400-QDD-DR4-8E4O-EML</x:v>
      </x:c>
      <x:c r="B110" s="19" t="str">
        <x:v>C044</x:v>
      </x:c>
      <x:c r="C110" s="19" t="n">
        <x:v>1</x:v>
      </x:c>
      <x:c r="D110" s="19" t="str">
        <x:v>必需</x:v>
      </x:c>
      <x:c r="E110" s="19" t="str">
        <x:v>连接器级</x:v>
      </x:c>
      <x:c r="F110" s="19" t="str">
        <x:v>MPO12</x:v>
      </x:c>
    </x:row>
    <x:row r="111" ht="15" hidden="0" customHeight="1">
      <x:c r="A111" s="19" t="str">
        <x:v>400-QDD-DR4-8E4O-EML</x:v>
      </x:c>
      <x:c r="B111" s="19" t="str">
        <x:v>C045</x:v>
      </x:c>
      <x:c r="C111" s="19" t="n">
        <x:v>1</x:v>
      </x:c>
      <x:c r="D111" s="19" t="str">
        <x:v>内嵌</x:v>
      </x:c>
      <x:c r="E111" s="19" t="str">
        <x:v>连接器级</x:v>
      </x:c>
      <x:c r="F111" s="19" t="str">
        <x:v>MT插芯</x:v>
      </x:c>
    </x:row>
    <x:row r="112" ht="15" hidden="0" customHeight="1">
      <x:c r="A112" s="19" t="str">
        <x:v>400-QDD-DR4-8E4O-EML</x:v>
      </x:c>
      <x:c r="B112" s="19" t="str">
        <x:v>C046</x:v>
      </x:c>
      <x:c r="C112" s="19" t="n">
        <x:v>1</x:v>
      </x:c>
      <x:c r="D112" s="19" t="str">
        <x:v>内嵌</x:v>
      </x:c>
      <x:c r="E112" s="19" t="str">
        <x:v>连接器级</x:v>
      </x:c>
      <x:c r="F112" s="19" t="str">
        <x:v>导针与弹簧</x:v>
      </x:c>
    </x:row>
    <x:row r="113" ht="15" hidden="0" customHeight="1">
      <x:c r="A113" s="19" t="str">
        <x:v>400-QDD-DR4-8E4O-EML</x:v>
      </x:c>
      <x:c r="B113" s="19" t="str">
        <x:v>C053</x:v>
      </x:c>
      <x:c r="C113" s="19" t="n">
        <x:v>1</x:v>
      </x:c>
      <x:c r="D113" s="19" t="str">
        <x:v>必需</x:v>
      </x:c>
      <x:c r="E113" s="19" t="str">
        <x:v>热管理</x:v>
      </x:c>
      <x:c r="F113" s="19" t="str">
        <x:v>TIM</x:v>
      </x:c>
    </x:row>
    <x:row r="114" ht="15" hidden="0" customHeight="1">
      <x:c r="A114" s="19" t="str">
        <x:v>400-QDD-DR4-8E4O-EML</x:v>
      </x:c>
      <x:c r="B114" s="19" t="str">
        <x:v>C054</x:v>
      </x:c>
      <x:c r="C114" s="19" t="n">
        <x:v>1</x:v>
      </x:c>
      <x:c r="D114" s="19" t="str">
        <x:v>按实现</x:v>
      </x:c>
      <x:c r="E114" s="19" t="str">
        <x:v>封装</x:v>
      </x:c>
      <x:c r="F114" s="19" t="str">
        <x:v>光学胶/底填</x:v>
      </x:c>
    </x:row>
    <x:row r="115" ht="15" hidden="0" customHeight="1">
      <x:c r="A115" s="19" t="str">
        <x:v>400-QDD-SR42-8E8O-VCSEL</x:v>
      </x:c>
      <x:c r="B115" s="19" t="str">
        <x:v>C001</x:v>
      </x:c>
      <x:c r="C115" s="19" t="n">
        <x:v>1</x:v>
      </x:c>
      <x:c r="D115" s="19" t="str">
        <x:v>必需</x:v>
      </x:c>
      <x:c r="E115" s="19" t="str">
        <x:v>形态级</x:v>
      </x:c>
      <x:c r="F115" s="19" t="str">
        <x:v>QSFP-DD</x:v>
      </x:c>
    </x:row>
    <x:row r="116" ht="15" hidden="0" customHeight="1">
      <x:c r="A116" s="19" t="str">
        <x:v>400-QDD-SR42-8E8O-VCSEL</x:v>
      </x:c>
      <x:c r="B116" s="19" t="str">
        <x:v>C002</x:v>
      </x:c>
      <x:c r="C116" s="19" t="n">
        <x:v>1</x:v>
      </x:c>
      <x:c r="D116" s="19" t="str">
        <x:v>必需</x:v>
      </x:c>
      <x:c r="E116" s="19" t="str">
        <x:v>形态级</x:v>
      </x:c>
      <x:c r="F116" s="19" t="str">
        <x:v>散热能力需按功耗校核</x:v>
      </x:c>
    </x:row>
    <x:row r="117" ht="15" hidden="0" customHeight="1">
      <x:c r="A117" s="19" t="str">
        <x:v>400-QDD-SR42-8E8O-VCSEL</x:v>
      </x:c>
      <x:c r="B117" s="19" t="str">
        <x:v>C003</x:v>
      </x:c>
      <x:c r="C117" s="19" t="n">
        <x:v>1</x:v>
      </x:c>
      <x:c r="D117" s="19" t="str">
        <x:v>必需</x:v>
      </x:c>
      <x:c r="E117" s="19" t="str">
        <x:v>形态级</x:v>
      </x:c>
      <x:c r="F117" s="19" t="str">
        <x:v>CPO无传统前面板模块拉环</x:v>
      </x:c>
    </x:row>
    <x:row r="118" ht="15" hidden="0" customHeight="1">
      <x:c r="A118" s="19" t="str">
        <x:v>400-QDD-SR42-8E8O-VCSEL</x:v>
      </x:c>
      <x:c r="B118" s="19" t="str">
        <x:v>C004</x:v>
      </x:c>
      <x:c r="C118" s="19" t="n">
        <x:v>1</x:v>
      </x:c>
      <x:c r="D118" s="19" t="str">
        <x:v>必需</x:v>
      </x:c>
      <x:c r="E118" s="19" t="str">
        <x:v>代表性</x:v>
      </x:c>
      <x:c r="F118" s="19" t="str">
        <x:v>EMI屏蔽结构依外壳设计</x:v>
      </x:c>
    </x:row>
    <x:row r="119" ht="15" hidden="0" customHeight="1">
      <x:c r="A119" s="19" t="str">
        <x:v>400-QDD-SR42-8E8O-VCSEL</x:v>
      </x:c>
      <x:c r="B119" s="19" t="str">
        <x:v>C005</x:v>
      </x:c>
      <x:c r="C119" s="19" t="n">
        <x:v>1</x:v>
      </x:c>
      <x:c r="D119" s="19" t="str">
        <x:v>必需</x:v>
      </x:c>
      <x:c r="E119" s="19" t="str">
        <x:v>代表性</x:v>
      </x:c>
      <x:c r="F119" s="19" t="str">
        <x:v>CPO可采用封装基板+系统PCB</x:v>
      </x:c>
    </x:row>
    <x:row r="120" ht="15" hidden="0" customHeight="1">
      <x:c r="A120" s="19" t="str">
        <x:v>400-QDD-SR42-8E8O-VCSEL</x:v>
      </x:c>
      <x:c r="B120" s="19" t="str">
        <x:v>C056</x:v>
      </x:c>
      <x:c r="C120" s="19" t="n">
        <x:v>1</x:v>
      </x:c>
      <x:c r="D120" s="19" t="str">
        <x:v>必需</x:v>
      </x:c>
      <x:c r="E120" s="19" t="str">
        <x:v>形态级</x:v>
      </x:c>
      <x:c r="F120" s="19" t="str">
        <x:v>可插拔模块主机侧金手指/电连接器</x:v>
      </x:c>
    </x:row>
    <x:row r="121" ht="15" hidden="0" customHeight="1">
      <x:c r="A121" s="19" t="str">
        <x:v>400-QDD-SR42-8E8O-VCSEL</x:v>
      </x:c>
      <x:c r="B121" s="19" t="str">
        <x:v>C057</x:v>
      </x:c>
      <x:c r="C121" s="19" t="n">
        <x:v>1</x:v>
      </x:c>
      <x:c r="D121" s="19" t="str">
        <x:v>系统配套</x:v>
      </x:c>
      <x:c r="E121" s="19" t="str">
        <x:v>系统级</x:v>
      </x:c>
      <x:c r="F121" s="19" t="str">
        <x:v>cage不属于模块内采购BOM</x:v>
      </x:c>
    </x:row>
    <x:row r="122" ht="15" hidden="0" customHeight="1">
      <x:c r="A122" s="19" t="str">
        <x:v>400-QDD-SR42-8E8O-VCSEL</x:v>
      </x:c>
      <x:c r="B122" s="19" t="str">
        <x:v>C007</x:v>
      </x:c>
      <x:c r="C122" s="19" t="n">
        <x:v>1</x:v>
      </x:c>
      <x:c r="D122" s="19" t="str">
        <x:v>必需</x:v>
      </x:c>
      <x:c r="E122" s="19" t="str">
        <x:v>代表性</x:v>
      </x:c>
      <x:c r="F122" s="19" t="str">
        <x:v>光引擎承载基板/Interposer</x:v>
      </x:c>
    </x:row>
    <x:row r="123" ht="15" hidden="0" customHeight="1">
      <x:c r="A123" s="19" t="str">
        <x:v>400-QDD-SR42-8E8O-VCSEL</x:v>
      </x:c>
      <x:c r="B123" s="19" t="str">
        <x:v>C008</x:v>
      </x:c>
      <x:c r="C123" s="19" t="n">
        <x:v>1</x:v>
      </x:c>
      <x:c r="D123" s="19" t="str">
        <x:v>必需</x:v>
      </x:c>
      <x:c r="E123" s="19" t="str">
        <x:v>代表性</x:v>
      </x:c>
      <x:c r="F123" s="19" t="str">
        <x:v>数量按功耗域，不等于精确颗数</x:v>
      </x:c>
    </x:row>
    <x:row r="124" ht="15" hidden="0" customHeight="1">
      <x:c r="A124" s="19" t="str">
        <x:v>400-QDD-SR42-8E8O-VCSEL</x:v>
      </x:c>
      <x:c r="B124" s="19" t="str">
        <x:v>C009</x:v>
      </x:c>
      <x:c r="C124" s="19" t="n">
        <x:v>1</x:v>
      </x:c>
      <x:c r="D124" s="19" t="str">
        <x:v>必需</x:v>
      </x:c>
      <x:c r="E124" s="19" t="str">
        <x:v>管理接口</x:v>
      </x:c>
      <x:c r="F124" s="19" t="str">
        <x:v>可插拔模块使用CMIS管理</x:v>
      </x:c>
    </x:row>
    <x:row r="125" ht="15" hidden="0" customHeight="1">
      <x:c r="A125" s="19" t="str">
        <x:v>400-QDD-SR42-8E8O-VCSEL</x:v>
      </x:c>
      <x:c r="B125" s="19" t="str">
        <x:v>C010</x:v>
      </x:c>
      <x:c r="C125" s="19" t="n">
        <x:v>1</x:v>
      </x:c>
      <x:c r="D125" s="19" t="str">
        <x:v>按实现</x:v>
      </x:c>
      <x:c r="E125" s="19" t="str">
        <x:v>代表性</x:v>
      </x:c>
      <x:c r="F125" s="19" t="str">
        <x:v>模块控制与校准</x:v>
      </x:c>
    </x:row>
    <x:row r="126" ht="15" hidden="0" customHeight="1">
      <x:c r="A126" s="19" t="str">
        <x:v>400-QDD-SR42-8E8O-VCSEL</x:v>
      </x:c>
      <x:c r="B126" s="19" t="str">
        <x:v>C058</x:v>
      </x:c>
      <x:c r="C126" s="19" t="n">
        <x:v>1</x:v>
      </x:c>
      <x:c r="D126" s="19" t="str">
        <x:v>按实现</x:v>
      </x:c>
      <x:c r="E126" s="19" t="str">
        <x:v>时钟架构</x:v>
      </x:c>
      <x:c r="F126" s="19" t="str">
        <x:v>可由主机提供REFCLK或使用模块内时钟器件</x:v>
      </x:c>
    </x:row>
    <x:row r="127" ht="15" hidden="0" customHeight="1">
      <x:c r="A127" s="19" t="str">
        <x:v>400-QDD-SR42-8E8O-VCSEL</x:v>
      </x:c>
      <x:c r="B127" s="19" t="str">
        <x:v>C059</x:v>
      </x:c>
      <x:c r="C127" s="19" t="n">
        <x:v>1</x:v>
      </x:c>
      <x:c r="D127" s="19" t="str">
        <x:v>必需/可集成</x:v>
      </x:c>
      <x:c r="E127" s="19" t="str">
        <x:v>监控功能</x:v>
      </x:c>
      <x:c r="F127" s="19" t="str">
        <x:v>CMIS/控制系统温度监测</x:v>
      </x:c>
    </x:row>
    <x:row r="128" ht="15" hidden="0" customHeight="1">
      <x:c r="A128" s="19" t="str">
        <x:v>400-QDD-SR42-8E8O-VCSEL</x:v>
      </x:c>
      <x:c r="B128" s="19" t="str">
        <x:v>C060</x:v>
      </x:c>
      <x:c r="C128" s="19" t="n">
        <x:v>1</x:v>
      </x:c>
      <x:c r="D128" s="19" t="str">
        <x:v>必需</x:v>
      </x:c>
      <x:c r="E128" s="19" t="str">
        <x:v>器件组</x:v>
      </x:c>
      <x:c r="F128" s="19" t="str">
        <x:v>R/C/L数量不按lane数表示</x:v>
      </x:c>
    </x:row>
    <x:row r="129" ht="15" hidden="0" customHeight="1">
      <x:c r="A129" s="19" t="str">
        <x:v>400-QDD-SR42-8E8O-VCSEL</x:v>
      </x:c>
      <x:c r="B129" s="19" t="str">
        <x:v>C062</x:v>
      </x:c>
      <x:c r="C129" s="19" t="n">
        <x:v>1</x:v>
      </x:c>
      <x:c r="D129" s="19" t="str">
        <x:v>按封装</x:v>
      </x:c>
      <x:c r="E129" s="19" t="str">
        <x:v>互连工艺</x:v>
      </x:c>
      <x:c r="F129" s="19" t="str">
        <x:v>flip-chip平台使用</x:v>
      </x:c>
    </x:row>
    <x:row r="130" ht="15" hidden="0" customHeight="1">
      <x:c r="A130" s="19" t="str">
        <x:v>400-QDD-SR42-8E8O-VCSEL</x:v>
      </x:c>
      <x:c r="B130" s="19" t="str">
        <x:v>C063</x:v>
      </x:c>
      <x:c r="C130" s="19" t="n">
        <x:v>1</x:v>
      </x:c>
      <x:c r="D130" s="19" t="str">
        <x:v>按封装</x:v>
      </x:c>
      <x:c r="E130" s="19" t="str">
        <x:v>互连工艺</x:v>
      </x:c>
      <x:c r="F130" s="19" t="str">
        <x:v>wire/ribbon bond平台使用</x:v>
      </x:c>
    </x:row>
    <x:row r="131" ht="15" hidden="0" customHeight="1">
      <x:c r="A131" s="19" t="str">
        <x:v>400-QDD-SR42-8E8O-VCSEL</x:v>
      </x:c>
      <x:c r="B131" s="19" t="str">
        <x:v>C011</x:v>
      </x:c>
      <x:c r="C131" s="19" t="n">
        <x:v>1</x:v>
      </x:c>
      <x:c r="D131" s="19" t="str">
        <x:v>必需</x:v>
      </x:c>
      <x:c r="E131" s="19" t="str">
        <x:v>架构级</x:v>
      </x:c>
      <x:c r="F131" s="19" t="str">
        <x:v>含DSP/Gearbox</x:v>
      </x:c>
    </x:row>
    <x:row r="132" ht="15" hidden="0" customHeight="1">
      <x:c r="A132" s="19" t="str">
        <x:v>400-QDD-SR42-8E8O-VCSEL</x:v>
      </x:c>
      <x:c r="B132" s="19" t="str">
        <x:v>C014</x:v>
      </x:c>
      <x:c r="C132" s="19" t="n">
        <x:v>8</x:v>
      </x:c>
      <x:c r="D132" s="19" t="str">
        <x:v>必需</x:v>
      </x:c>
      <x:c r="E132" s="19" t="str">
        <x:v>功能通道数</x:v>
      </x:c>
      <x:c r="F132" s="19" t="str">
        <x:v>可能为阵列/多通道die，非精确封装颗数</x:v>
      </x:c>
    </x:row>
    <x:row r="133" ht="15" hidden="0" customHeight="1">
      <x:c r="A133" s="19" t="str">
        <x:v>400-QDD-SR42-8E8O-VCSEL</x:v>
      </x:c>
      <x:c r="B133" s="19" t="str">
        <x:v>C015</x:v>
      </x:c>
      <x:c r="C133" s="19" t="n">
        <x:v>8</x:v>
      </x:c>
      <x:c r="D133" s="19" t="str">
        <x:v>必需</x:v>
      </x:c>
      <x:c r="E133" s="19" t="str">
        <x:v>功能通道数</x:v>
      </x:c>
      <x:c r="F133" s="19" t="str">
        <x:v>可能为阵列/多通道die，非精确封装颗数</x:v>
      </x:c>
    </x:row>
    <x:row r="134" ht="15" hidden="0" customHeight="1">
      <x:c r="A134" s="19" t="str">
        <x:v>400-QDD-SR42-8E8O-VCSEL</x:v>
      </x:c>
      <x:c r="B134" s="19" t="str">
        <x:v>C016</x:v>
      </x:c>
      <x:c r="C134" s="19" t="n">
        <x:v>8</x:v>
      </x:c>
      <x:c r="D134" s="19" t="str">
        <x:v>必需</x:v>
      </x:c>
      <x:c r="E134" s="19" t="str">
        <x:v>光通道</x:v>
      </x:c>
      <x:c r="F134" s="19" t="str">
        <x:v>VCSEL阵列通道数</x:v>
      </x:c>
    </x:row>
    <x:row r="135" ht="15" hidden="0" customHeight="1">
      <x:c r="A135" s="19" t="str">
        <x:v>400-QDD-SR42-8E8O-VCSEL</x:v>
      </x:c>
      <x:c r="B135" s="19" t="str">
        <x:v>C017</x:v>
      </x:c>
      <x:c r="C135" s="19" t="n">
        <x:v>8</x:v>
      </x:c>
      <x:c r="D135" s="19" t="str">
        <x:v>内嵌</x:v>
      </x:c>
      <x:c r="E135" s="19" t="str">
        <x:v>微结构</x:v>
      </x:c>
      <x:c r="F135" s="19" t="str">
        <x:v>每个VCSEL单元的氧化孔径</x:v>
      </x:c>
    </x:row>
    <x:row r="136" ht="15" hidden="0" customHeight="1">
      <x:c r="A136" s="19" t="str">
        <x:v>400-QDD-SR42-8E8O-VCSEL</x:v>
      </x:c>
      <x:c r="B136" s="19" t="str">
        <x:v>C018</x:v>
      </x:c>
      <x:c r="C136" s="19" t="n">
        <x:v>8</x:v>
      </x:c>
      <x:c r="D136" s="19" t="str">
        <x:v>内嵌</x:v>
      </x:c>
      <x:c r="E136" s="19" t="str">
        <x:v>微结构</x:v>
      </x:c>
      <x:c r="F136" s="19" t="str">
        <x:v>上下DBR按外延周期形成，不是独立采购件</x:v>
      </x:c>
    </x:row>
    <x:row r="137" ht="15" hidden="0" customHeight="1">
      <x:c r="A137" s="19" t="str">
        <x:v>400-QDD-SR42-8E8O-VCSEL</x:v>
      </x:c>
      <x:c r="B137" s="19" t="str">
        <x:v>C019</x:v>
      </x:c>
      <x:c r="C137" s="19" t="n">
        <x:v>8</x:v>
      </x:c>
      <x:c r="D137" s="19" t="str">
        <x:v>内嵌</x:v>
      </x:c>
      <x:c r="E137" s="19" t="str">
        <x:v>微结构</x:v>
      </x:c>
      <x:c r="F137" s="19" t="str">
        <x:v>谐振腔</x:v>
      </x:c>
    </x:row>
    <x:row r="138" ht="15" hidden="0" customHeight="1">
      <x:c r="A138" s="19" t="str">
        <x:v>400-QDD-SR42-8E8O-VCSEL</x:v>
      </x:c>
      <x:c r="B138" s="19" t="str">
        <x:v>C068</x:v>
      </x:c>
      <x:c r="C138" s="19" t="n">
        <x:v>8</x:v>
      </x:c>
      <x:c r="D138" s="19" t="str">
        <x:v>内嵌</x:v>
      </x:c>
      <x:c r="E138" s="19" t="str">
        <x:v>微结构</x:v>
      </x:c>
      <x:c r="F138" s="19" t="str">
        <x:v>VCSEL量子阱有源区</x:v>
      </x:c>
    </x:row>
    <x:row r="139" ht="15" hidden="0" customHeight="1">
      <x:c r="A139" s="19" t="str">
        <x:v>400-QDD-SR42-8E8O-VCSEL</x:v>
      </x:c>
      <x:c r="B139" s="19" t="str">
        <x:v>C061</x:v>
      </x:c>
      <x:c r="C139" s="19" t="n">
        <x:v>1</x:v>
      </x:c>
      <x:c r="D139" s="19" t="str">
        <x:v>按封装</x:v>
      </x:c>
      <x:c r="E139" s="19" t="str">
        <x:v>封装</x:v>
      </x:c>
      <x:c r="F139" s="19" t="str">
        <x:v>VCSEL/PD阵列承载</x:v>
      </x:c>
    </x:row>
    <x:row r="140" ht="15" hidden="0" customHeight="1">
      <x:c r="A140" s="19" t="str">
        <x:v>400-QDD-SR42-8E8O-VCSEL</x:v>
      </x:c>
      <x:c r="B140" s="19" t="str">
        <x:v>C032</x:v>
      </x:c>
      <x:c r="C140" s="19" t="n">
        <x:v>8</x:v>
      </x:c>
      <x:c r="D140" s="19" t="str">
        <x:v>必需</x:v>
      </x:c>
      <x:c r="E140" s="19" t="str">
        <x:v>光通道</x:v>
      </x:c>
      <x:c r="F140" s="19" t="str">
        <x:v>GaAs PIN Array</x:v>
      </x:c>
    </x:row>
    <x:row r="141" ht="15" hidden="0" customHeight="1">
      <x:c r="A141" s="19" t="str">
        <x:v>400-QDD-SR42-8E8O-VCSEL</x:v>
      </x:c>
      <x:c r="B141" s="19" t="str">
        <x:v>C050</x:v>
      </x:c>
      <x:c r="C141" s="19" t="n">
        <x:v>8</x:v>
      </x:c>
      <x:c r="D141" s="19" t="str">
        <x:v>必需</x:v>
      </x:c>
      <x:c r="E141" s="19" t="str">
        <x:v>光纤通道</x:v>
      </x:c>
      <x:c r="F141" s="19" t="str">
        <x:v>MMF</x:v>
      </x:c>
    </x:row>
    <x:row r="142" ht="15" hidden="0" customHeight="1">
      <x:c r="A142" s="19" t="str">
        <x:v>400-QDD-SR42-8E8O-VCSEL</x:v>
      </x:c>
      <x:c r="B142" s="19" t="str">
        <x:v>C037</x:v>
      </x:c>
      <x:c r="C142" s="19" t="n">
        <x:v>8</x:v>
      </x:c>
      <x:c r="D142" s="19" t="str">
        <x:v>按实现</x:v>
      </x:c>
      <x:c r="E142" s="19" t="str">
        <x:v>光通道</x:v>
      </x:c>
      <x:c r="F142" s="19" t="str">
        <x:v>自由空间/阵列耦合时使用</x:v>
      </x:c>
    </x:row>
    <x:row r="143" ht="15" hidden="0" customHeight="1">
      <x:c r="A143" s="19" t="str">
        <x:v>400-QDD-SR42-8E8O-VCSEL</x:v>
      </x:c>
      <x:c r="B143" s="19" t="str">
        <x:v>C038</x:v>
      </x:c>
      <x:c r="C143" s="19" t="n">
        <x:v>8</x:v>
      </x:c>
      <x:c r="D143" s="19" t="str">
        <x:v>按实现</x:v>
      </x:c>
      <x:c r="E143" s="19" t="str">
        <x:v>光通道</x:v>
      </x:c>
      <x:c r="F143" s="19" t="str">
        <x:v>FAU可能按阵列封装，不等于单根数量</x:v>
      </x:c>
    </x:row>
    <x:row r="144" ht="15" hidden="0" customHeight="1">
      <x:c r="A144" s="19" t="str">
        <x:v>400-QDD-SR42-8E8O-VCSEL</x:v>
      </x:c>
      <x:c r="B144" s="19" t="str">
        <x:v>C044</x:v>
      </x:c>
      <x:c r="C144" s="19" t="n">
        <x:v>1</x:v>
      </x:c>
      <x:c r="D144" s="19" t="str">
        <x:v>必需</x:v>
      </x:c>
      <x:c r="E144" s="19" t="str">
        <x:v>连接器级</x:v>
      </x:c>
      <x:c r="F144" s="19" t="str">
        <x:v>MPO12</x:v>
      </x:c>
    </x:row>
    <x:row r="145" ht="15" hidden="0" customHeight="1">
      <x:c r="A145" s="19" t="str">
        <x:v>400-QDD-SR42-8E8O-VCSEL</x:v>
      </x:c>
      <x:c r="B145" s="19" t="str">
        <x:v>C045</x:v>
      </x:c>
      <x:c r="C145" s="19" t="n">
        <x:v>1</x:v>
      </x:c>
      <x:c r="D145" s="19" t="str">
        <x:v>内嵌</x:v>
      </x:c>
      <x:c r="E145" s="19" t="str">
        <x:v>连接器级</x:v>
      </x:c>
      <x:c r="F145" s="19" t="str">
        <x:v>MT插芯</x:v>
      </x:c>
    </x:row>
    <x:row r="146" ht="15" hidden="0" customHeight="1">
      <x:c r="A146" s="19" t="str">
        <x:v>400-QDD-SR42-8E8O-VCSEL</x:v>
      </x:c>
      <x:c r="B146" s="19" t="str">
        <x:v>C046</x:v>
      </x:c>
      <x:c r="C146" s="19" t="n">
        <x:v>1</x:v>
      </x:c>
      <x:c r="D146" s="19" t="str">
        <x:v>内嵌</x:v>
      </x:c>
      <x:c r="E146" s="19" t="str">
        <x:v>连接器级</x:v>
      </x:c>
      <x:c r="F146" s="19" t="str">
        <x:v>导针与弹簧</x:v>
      </x:c>
    </x:row>
    <x:row r="147" ht="15" hidden="0" customHeight="1">
      <x:c r="A147" s="19" t="str">
        <x:v>400-QDD-SR42-8E8O-VCSEL</x:v>
      </x:c>
      <x:c r="B147" s="19" t="str">
        <x:v>C053</x:v>
      </x:c>
      <x:c r="C147" s="19" t="n">
        <x:v>1</x:v>
      </x:c>
      <x:c r="D147" s="19" t="str">
        <x:v>必需</x:v>
      </x:c>
      <x:c r="E147" s="19" t="str">
        <x:v>热管理</x:v>
      </x:c>
      <x:c r="F147" s="19" t="str">
        <x:v>TIM</x:v>
      </x:c>
    </x:row>
    <x:row r="148" ht="15" hidden="0" customHeight="1">
      <x:c r="A148" s="19" t="str">
        <x:v>400-QDD-SR42-8E8O-VCSEL</x:v>
      </x:c>
      <x:c r="B148" s="19" t="str">
        <x:v>C054</x:v>
      </x:c>
      <x:c r="C148" s="19" t="n">
        <x:v>1</x:v>
      </x:c>
      <x:c r="D148" s="19" t="str">
        <x:v>按实现</x:v>
      </x:c>
      <x:c r="E148" s="19" t="str">
        <x:v>封装</x:v>
      </x:c>
      <x:c r="F148" s="19" t="str">
        <x:v>光学胶/底填</x:v>
      </x:c>
    </x:row>
    <x:row r="149" ht="15" hidden="0" customHeight="1">
      <x:c r="A149" s="19" t="str">
        <x:v>400-QDD-SR8-8E8O-VCSEL</x:v>
      </x:c>
      <x:c r="B149" s="19" t="str">
        <x:v>C001</x:v>
      </x:c>
      <x:c r="C149" s="19" t="n">
        <x:v>1</x:v>
      </x:c>
      <x:c r="D149" s="19" t="str">
        <x:v>必需</x:v>
      </x:c>
      <x:c r="E149" s="19" t="str">
        <x:v>形态级</x:v>
      </x:c>
      <x:c r="F149" s="19" t="str">
        <x:v>QSFP-DD</x:v>
      </x:c>
    </x:row>
    <x:row r="150" ht="15" hidden="0" customHeight="1">
      <x:c r="A150" s="19" t="str">
        <x:v>400-QDD-SR8-8E8O-VCSEL</x:v>
      </x:c>
      <x:c r="B150" s="19" t="str">
        <x:v>C002</x:v>
      </x:c>
      <x:c r="C150" s="19" t="n">
        <x:v>1</x:v>
      </x:c>
      <x:c r="D150" s="19" t="str">
        <x:v>必需</x:v>
      </x:c>
      <x:c r="E150" s="19" t="str">
        <x:v>形态级</x:v>
      </x:c>
      <x:c r="F150" s="19" t="str">
        <x:v>散热能力需按功耗校核</x:v>
      </x:c>
    </x:row>
    <x:row r="151" ht="15" hidden="0" customHeight="1">
      <x:c r="A151" s="19" t="str">
        <x:v>400-QDD-SR8-8E8O-VCSEL</x:v>
      </x:c>
      <x:c r="B151" s="19" t="str">
        <x:v>C003</x:v>
      </x:c>
      <x:c r="C151" s="19" t="n">
        <x:v>1</x:v>
      </x:c>
      <x:c r="D151" s="19" t="str">
        <x:v>必需</x:v>
      </x:c>
      <x:c r="E151" s="19" t="str">
        <x:v>形态级</x:v>
      </x:c>
      <x:c r="F151" s="19" t="str">
        <x:v>CPO无传统前面板模块拉环</x:v>
      </x:c>
    </x:row>
    <x:row r="152" ht="15" hidden="0" customHeight="1">
      <x:c r="A152" s="19" t="str">
        <x:v>400-QDD-SR8-8E8O-VCSEL</x:v>
      </x:c>
      <x:c r="B152" s="19" t="str">
        <x:v>C004</x:v>
      </x:c>
      <x:c r="C152" s="19" t="n">
        <x:v>1</x:v>
      </x:c>
      <x:c r="D152" s="19" t="str">
        <x:v>必需</x:v>
      </x:c>
      <x:c r="E152" s="19" t="str">
        <x:v>代表性</x:v>
      </x:c>
      <x:c r="F152" s="19" t="str">
        <x:v>EMI屏蔽结构依外壳设计</x:v>
      </x:c>
    </x:row>
    <x:row r="153" ht="15" hidden="0" customHeight="1">
      <x:c r="A153" s="19" t="str">
        <x:v>400-QDD-SR8-8E8O-VCSEL</x:v>
      </x:c>
      <x:c r="B153" s="19" t="str">
        <x:v>C005</x:v>
      </x:c>
      <x:c r="C153" s="19" t="n">
        <x:v>1</x:v>
      </x:c>
      <x:c r="D153" s="19" t="str">
        <x:v>必需</x:v>
      </x:c>
      <x:c r="E153" s="19" t="str">
        <x:v>代表性</x:v>
      </x:c>
      <x:c r="F153" s="19" t="str">
        <x:v>CPO可采用封装基板+系统PCB</x:v>
      </x:c>
    </x:row>
    <x:row r="154" ht="15" hidden="0" customHeight="1">
      <x:c r="A154" s="19" t="str">
        <x:v>400-QDD-SR8-8E8O-VCSEL</x:v>
      </x:c>
      <x:c r="B154" s="19" t="str">
        <x:v>C056</x:v>
      </x:c>
      <x:c r="C154" s="19" t="n">
        <x:v>1</x:v>
      </x:c>
      <x:c r="D154" s="19" t="str">
        <x:v>必需</x:v>
      </x:c>
      <x:c r="E154" s="19" t="str">
        <x:v>形态级</x:v>
      </x:c>
      <x:c r="F154" s="19" t="str">
        <x:v>可插拔模块主机侧金手指/电连接器</x:v>
      </x:c>
    </x:row>
    <x:row r="155" ht="15" hidden="0" customHeight="1">
      <x:c r="A155" s="19" t="str">
        <x:v>400-QDD-SR8-8E8O-VCSEL</x:v>
      </x:c>
      <x:c r="B155" s="19" t="str">
        <x:v>C057</x:v>
      </x:c>
      <x:c r="C155" s="19" t="n">
        <x:v>1</x:v>
      </x:c>
      <x:c r="D155" s="19" t="str">
        <x:v>系统配套</x:v>
      </x:c>
      <x:c r="E155" s="19" t="str">
        <x:v>系统级</x:v>
      </x:c>
      <x:c r="F155" s="19" t="str">
        <x:v>cage不属于模块内采购BOM</x:v>
      </x:c>
    </x:row>
    <x:row r="156" ht="15" hidden="0" customHeight="1">
      <x:c r="A156" s="19" t="str">
        <x:v>400-QDD-SR8-8E8O-VCSEL</x:v>
      </x:c>
      <x:c r="B156" s="19" t="str">
        <x:v>C007</x:v>
      </x:c>
      <x:c r="C156" s="19" t="n">
        <x:v>1</x:v>
      </x:c>
      <x:c r="D156" s="19" t="str">
        <x:v>必需</x:v>
      </x:c>
      <x:c r="E156" s="19" t="str">
        <x:v>代表性</x:v>
      </x:c>
      <x:c r="F156" s="19" t="str">
        <x:v>光引擎承载基板/Interposer</x:v>
      </x:c>
    </x:row>
    <x:row r="157" ht="15" hidden="0" customHeight="1">
      <x:c r="A157" s="19" t="str">
        <x:v>400-QDD-SR8-8E8O-VCSEL</x:v>
      </x:c>
      <x:c r="B157" s="19" t="str">
        <x:v>C008</x:v>
      </x:c>
      <x:c r="C157" s="19" t="n">
        <x:v>1</x:v>
      </x:c>
      <x:c r="D157" s="19" t="str">
        <x:v>必需</x:v>
      </x:c>
      <x:c r="E157" s="19" t="str">
        <x:v>代表性</x:v>
      </x:c>
      <x:c r="F157" s="19" t="str">
        <x:v>数量按功耗域，不等于精确颗数</x:v>
      </x:c>
    </x:row>
    <x:row r="158" ht="15" hidden="0" customHeight="1">
      <x:c r="A158" s="19" t="str">
        <x:v>400-QDD-SR8-8E8O-VCSEL</x:v>
      </x:c>
      <x:c r="B158" s="19" t="str">
        <x:v>C009</x:v>
      </x:c>
      <x:c r="C158" s="19" t="n">
        <x:v>1</x:v>
      </x:c>
      <x:c r="D158" s="19" t="str">
        <x:v>必需</x:v>
      </x:c>
      <x:c r="E158" s="19" t="str">
        <x:v>管理接口</x:v>
      </x:c>
      <x:c r="F158" s="19" t="str">
        <x:v>可插拔模块使用CMIS管理</x:v>
      </x:c>
    </x:row>
    <x:row r="159" ht="15" hidden="0" customHeight="1">
      <x:c r="A159" s="19" t="str">
        <x:v>400-QDD-SR8-8E8O-VCSEL</x:v>
      </x:c>
      <x:c r="B159" s="19" t="str">
        <x:v>C010</x:v>
      </x:c>
      <x:c r="C159" s="19" t="n">
        <x:v>1</x:v>
      </x:c>
      <x:c r="D159" s="19" t="str">
        <x:v>按实现</x:v>
      </x:c>
      <x:c r="E159" s="19" t="str">
        <x:v>代表性</x:v>
      </x:c>
      <x:c r="F159" s="19" t="str">
        <x:v>模块控制与校准</x:v>
      </x:c>
    </x:row>
    <x:row r="160" ht="15" hidden="0" customHeight="1">
      <x:c r="A160" s="19" t="str">
        <x:v>400-QDD-SR8-8E8O-VCSEL</x:v>
      </x:c>
      <x:c r="B160" s="19" t="str">
        <x:v>C058</x:v>
      </x:c>
      <x:c r="C160" s="19" t="n">
        <x:v>1</x:v>
      </x:c>
      <x:c r="D160" s="19" t="str">
        <x:v>按实现</x:v>
      </x:c>
      <x:c r="E160" s="19" t="str">
        <x:v>时钟架构</x:v>
      </x:c>
      <x:c r="F160" s="19" t="str">
        <x:v>可由主机提供REFCLK或使用模块内时钟器件</x:v>
      </x:c>
    </x:row>
    <x:row r="161" ht="15" hidden="0" customHeight="1">
      <x:c r="A161" s="19" t="str">
        <x:v>400-QDD-SR8-8E8O-VCSEL</x:v>
      </x:c>
      <x:c r="B161" s="19" t="str">
        <x:v>C059</x:v>
      </x:c>
      <x:c r="C161" s="19" t="n">
        <x:v>1</x:v>
      </x:c>
      <x:c r="D161" s="19" t="str">
        <x:v>必需/可集成</x:v>
      </x:c>
      <x:c r="E161" s="19" t="str">
        <x:v>监控功能</x:v>
      </x:c>
      <x:c r="F161" s="19" t="str">
        <x:v>CMIS/控制系统温度监测</x:v>
      </x:c>
    </x:row>
    <x:row r="162" ht="15" hidden="0" customHeight="1">
      <x:c r="A162" s="19" t="str">
        <x:v>400-QDD-SR8-8E8O-VCSEL</x:v>
      </x:c>
      <x:c r="B162" s="19" t="str">
        <x:v>C060</x:v>
      </x:c>
      <x:c r="C162" s="19" t="n">
        <x:v>1</x:v>
      </x:c>
      <x:c r="D162" s="19" t="str">
        <x:v>必需</x:v>
      </x:c>
      <x:c r="E162" s="19" t="str">
        <x:v>器件组</x:v>
      </x:c>
      <x:c r="F162" s="19" t="str">
        <x:v>R/C/L数量不按lane数表示</x:v>
      </x:c>
    </x:row>
    <x:row r="163" ht="15" hidden="0" customHeight="1">
      <x:c r="A163" s="19" t="str">
        <x:v>400-QDD-SR8-8E8O-VCSEL</x:v>
      </x:c>
      <x:c r="B163" s="19" t="str">
        <x:v>C062</x:v>
      </x:c>
      <x:c r="C163" s="19" t="n">
        <x:v>1</x:v>
      </x:c>
      <x:c r="D163" s="19" t="str">
        <x:v>按封装</x:v>
      </x:c>
      <x:c r="E163" s="19" t="str">
        <x:v>互连工艺</x:v>
      </x:c>
      <x:c r="F163" s="19" t="str">
        <x:v>flip-chip平台使用</x:v>
      </x:c>
    </x:row>
    <x:row r="164" ht="15" hidden="0" customHeight="1">
      <x:c r="A164" s="19" t="str">
        <x:v>400-QDD-SR8-8E8O-VCSEL</x:v>
      </x:c>
      <x:c r="B164" s="19" t="str">
        <x:v>C063</x:v>
      </x:c>
      <x:c r="C164" s="19" t="n">
        <x:v>1</x:v>
      </x:c>
      <x:c r="D164" s="19" t="str">
        <x:v>按封装</x:v>
      </x:c>
      <x:c r="E164" s="19" t="str">
        <x:v>互连工艺</x:v>
      </x:c>
      <x:c r="F164" s="19" t="str">
        <x:v>wire/ribbon bond平台使用</x:v>
      </x:c>
    </x:row>
    <x:row r="165" ht="15" hidden="0" customHeight="1">
      <x:c r="A165" s="19" t="str">
        <x:v>400-QDD-SR8-8E8O-VCSEL</x:v>
      </x:c>
      <x:c r="B165" s="19" t="str">
        <x:v>C011</x:v>
      </x:c>
      <x:c r="C165" s="19" t="n">
        <x:v>1</x:v>
      </x:c>
      <x:c r="D165" s="19" t="str">
        <x:v>必需</x:v>
      </x:c>
      <x:c r="E165" s="19" t="str">
        <x:v>架构级</x:v>
      </x:c>
      <x:c r="F165" s="19" t="str">
        <x:v>含DSP/Gearbox</x:v>
      </x:c>
    </x:row>
    <x:row r="166" ht="15" hidden="0" customHeight="1">
      <x:c r="A166" s="19" t="str">
        <x:v>400-QDD-SR8-8E8O-VCSEL</x:v>
      </x:c>
      <x:c r="B166" s="19" t="str">
        <x:v>C014</x:v>
      </x:c>
      <x:c r="C166" s="19" t="n">
        <x:v>8</x:v>
      </x:c>
      <x:c r="D166" s="19" t="str">
        <x:v>必需</x:v>
      </x:c>
      <x:c r="E166" s="19" t="str">
        <x:v>功能通道数</x:v>
      </x:c>
      <x:c r="F166" s="19" t="str">
        <x:v>可能为阵列/多通道die，非精确封装颗数</x:v>
      </x:c>
    </x:row>
    <x:row r="167" ht="15" hidden="0" customHeight="1">
      <x:c r="A167" s="19" t="str">
        <x:v>400-QDD-SR8-8E8O-VCSEL</x:v>
      </x:c>
      <x:c r="B167" s="19" t="str">
        <x:v>C015</x:v>
      </x:c>
      <x:c r="C167" s="19" t="n">
        <x:v>8</x:v>
      </x:c>
      <x:c r="D167" s="19" t="str">
        <x:v>必需</x:v>
      </x:c>
      <x:c r="E167" s="19" t="str">
        <x:v>功能通道数</x:v>
      </x:c>
      <x:c r="F167" s="19" t="str">
        <x:v>可能为阵列/多通道die，非精确封装颗数</x:v>
      </x:c>
    </x:row>
    <x:row r="168" ht="15" hidden="0" customHeight="1">
      <x:c r="A168" s="19" t="str">
        <x:v>400-QDD-SR8-8E8O-VCSEL</x:v>
      </x:c>
      <x:c r="B168" s="19" t="str">
        <x:v>C016</x:v>
      </x:c>
      <x:c r="C168" s="19" t="n">
        <x:v>8</x:v>
      </x:c>
      <x:c r="D168" s="19" t="str">
        <x:v>必需</x:v>
      </x:c>
      <x:c r="E168" s="19" t="str">
        <x:v>光通道</x:v>
      </x:c>
      <x:c r="F168" s="19" t="str">
        <x:v>VCSEL阵列通道数</x:v>
      </x:c>
    </x:row>
    <x:row r="169" ht="15" hidden="0" customHeight="1">
      <x:c r="A169" s="19" t="str">
        <x:v>400-QDD-SR8-8E8O-VCSEL</x:v>
      </x:c>
      <x:c r="B169" s="19" t="str">
        <x:v>C017</x:v>
      </x:c>
      <x:c r="C169" s="19" t="n">
        <x:v>8</x:v>
      </x:c>
      <x:c r="D169" s="19" t="str">
        <x:v>内嵌</x:v>
      </x:c>
      <x:c r="E169" s="19" t="str">
        <x:v>微结构</x:v>
      </x:c>
      <x:c r="F169" s="19" t="str">
        <x:v>每个VCSEL单元的氧化孔径</x:v>
      </x:c>
    </x:row>
    <x:row r="170" ht="15" hidden="0" customHeight="1">
      <x:c r="A170" s="19" t="str">
        <x:v>400-QDD-SR8-8E8O-VCSEL</x:v>
      </x:c>
      <x:c r="B170" s="19" t="str">
        <x:v>C018</x:v>
      </x:c>
      <x:c r="C170" s="19" t="n">
        <x:v>8</x:v>
      </x:c>
      <x:c r="D170" s="19" t="str">
        <x:v>内嵌</x:v>
      </x:c>
      <x:c r="E170" s="19" t="str">
        <x:v>微结构</x:v>
      </x:c>
      <x:c r="F170" s="19" t="str">
        <x:v>上下DBR按外延周期形成，不是独立采购件</x:v>
      </x:c>
    </x:row>
    <x:row r="171" ht="15" hidden="0" customHeight="1">
      <x:c r="A171" s="19" t="str">
        <x:v>400-QDD-SR8-8E8O-VCSEL</x:v>
      </x:c>
      <x:c r="B171" s="19" t="str">
        <x:v>C019</x:v>
      </x:c>
      <x:c r="C171" s="19" t="n">
        <x:v>8</x:v>
      </x:c>
      <x:c r="D171" s="19" t="str">
        <x:v>内嵌</x:v>
      </x:c>
      <x:c r="E171" s="19" t="str">
        <x:v>微结构</x:v>
      </x:c>
      <x:c r="F171" s="19" t="str">
        <x:v>谐振腔</x:v>
      </x:c>
    </x:row>
    <x:row r="172" ht="15" hidden="0" customHeight="1">
      <x:c r="A172" s="19" t="str">
        <x:v>400-QDD-SR8-8E8O-VCSEL</x:v>
      </x:c>
      <x:c r="B172" s="19" t="str">
        <x:v>C068</x:v>
      </x:c>
      <x:c r="C172" s="19" t="n">
        <x:v>8</x:v>
      </x:c>
      <x:c r="D172" s="19" t="str">
        <x:v>内嵌</x:v>
      </x:c>
      <x:c r="E172" s="19" t="str">
        <x:v>微结构</x:v>
      </x:c>
      <x:c r="F172" s="19" t="str">
        <x:v>VCSEL量子阱有源区</x:v>
      </x:c>
    </x:row>
    <x:row r="173" ht="15" hidden="0" customHeight="1">
      <x:c r="A173" s="19" t="str">
        <x:v>400-QDD-SR8-8E8O-VCSEL</x:v>
      </x:c>
      <x:c r="B173" s="19" t="str">
        <x:v>C061</x:v>
      </x:c>
      <x:c r="C173" s="19" t="n">
        <x:v>1</x:v>
      </x:c>
      <x:c r="D173" s="19" t="str">
        <x:v>按封装</x:v>
      </x:c>
      <x:c r="E173" s="19" t="str">
        <x:v>封装</x:v>
      </x:c>
      <x:c r="F173" s="19" t="str">
        <x:v>VCSEL/PD阵列承载</x:v>
      </x:c>
    </x:row>
    <x:row r="174" ht="15" hidden="0" customHeight="1">
      <x:c r="A174" s="19" t="str">
        <x:v>400-QDD-SR8-8E8O-VCSEL</x:v>
      </x:c>
      <x:c r="B174" s="19" t="str">
        <x:v>C032</x:v>
      </x:c>
      <x:c r="C174" s="19" t="n">
        <x:v>8</x:v>
      </x:c>
      <x:c r="D174" s="19" t="str">
        <x:v>必需</x:v>
      </x:c>
      <x:c r="E174" s="19" t="str">
        <x:v>光通道</x:v>
      </x:c>
      <x:c r="F174" s="19" t="str">
        <x:v>GaAs PIN Array</x:v>
      </x:c>
    </x:row>
    <x:row r="175" ht="15" hidden="0" customHeight="1">
      <x:c r="A175" s="19" t="str">
        <x:v>400-QDD-SR8-8E8O-VCSEL</x:v>
      </x:c>
      <x:c r="B175" s="19" t="str">
        <x:v>C050</x:v>
      </x:c>
      <x:c r="C175" s="19" t="n">
        <x:v>8</x:v>
      </x:c>
      <x:c r="D175" s="19" t="str">
        <x:v>必需</x:v>
      </x:c>
      <x:c r="E175" s="19" t="str">
        <x:v>光纤通道</x:v>
      </x:c>
      <x:c r="F175" s="19" t="str">
        <x:v>MMF</x:v>
      </x:c>
    </x:row>
    <x:row r="176" ht="15" hidden="0" customHeight="1">
      <x:c r="A176" s="19"/>
      <x:c r="B176" s="19"/>
      <x:c r="C176" s="19"/>
      <x:c r="D176" s="19"/>
      <x:c r="E176" s="19"/>
      <x:c r="F176" s="19"/>
    </x:row>
    <x:row r="177" ht="15" hidden="0" customHeight="1">
      <x:c r="A177" s="19"/>
      <x:c r="B177" s="19"/>
      <x:c r="C177" s="19"/>
      <x:c r="D177" s="19"/>
      <x:c r="E177" s="19"/>
      <x:c r="F177" s="19"/>
    </x:row>
    <x:row r="178" ht="15" hidden="0" customHeight="1">
      <x:c r="A178" s="19"/>
      <x:c r="B178" s="19"/>
      <x:c r="C178" s="19"/>
      <x:c r="D178" s="19"/>
      <x:c r="E178" s="19"/>
      <x:c r="F178" s="19"/>
    </x:row>
    <x:row r="179" ht="15" hidden="0" customHeight="1">
      <x:c r="A179" s="19" t="str">
        <x:v>400-QDD-SR8-8E8O-VCSEL</x:v>
      </x:c>
      <x:c r="B179" s="19" t="str">
        <x:v>C037</x:v>
      </x:c>
      <x:c r="C179" s="19" t="n">
        <x:v>8</x:v>
      </x:c>
      <x:c r="D179" s="19" t="str">
        <x:v>按实现</x:v>
      </x:c>
      <x:c r="E179" s="19" t="str">
        <x:v>光通道</x:v>
      </x:c>
      <x:c r="F179" s="19" t="str">
        <x:v>自由空间/阵列耦合时使用</x:v>
      </x:c>
    </x:row>
    <x:row r="180" ht="15" hidden="0" customHeight="1">
      <x:c r="A180" s="19" t="str">
        <x:v>400-QDD-SR8-8E8O-VCSEL</x:v>
      </x:c>
      <x:c r="B180" s="19" t="str">
        <x:v>C038</x:v>
      </x:c>
      <x:c r="C180" s="19" t="n">
        <x:v>8</x:v>
      </x:c>
      <x:c r="D180" s="19" t="str">
        <x:v>按实现</x:v>
      </x:c>
      <x:c r="E180" s="19" t="str">
        <x:v>光通道</x:v>
      </x:c>
      <x:c r="F180" s="19" t="str">
        <x:v>FAU可能按阵列封装，不等于单根数量</x:v>
      </x:c>
    </x:row>
    <x:row r="181" ht="15" hidden="0" customHeight="1">
      <x:c r="A181" s="19" t="str">
        <x:v>400-QDD-SR8-8E8O-VCSEL</x:v>
      </x:c>
      <x:c r="B181" s="19" t="str">
        <x:v>C044</x:v>
      </x:c>
      <x:c r="C181" s="19" t="n">
        <x:v>1</x:v>
      </x:c>
      <x:c r="D181" s="19" t="str">
        <x:v>必需</x:v>
      </x:c>
      <x:c r="E181" s="19" t="str">
        <x:v>连接器级</x:v>
      </x:c>
      <x:c r="F181" s="19" t="str">
        <x:v>MPO16</x:v>
      </x:c>
    </x:row>
    <x:row r="182" ht="15" hidden="0" customHeight="1">
      <x:c r="A182" s="19" t="str">
        <x:v>400-QDD-SR8-8E8O-VCSEL</x:v>
      </x:c>
      <x:c r="B182" s="19" t="str">
        <x:v>C045</x:v>
      </x:c>
      <x:c r="C182" s="19" t="n">
        <x:v>1</x:v>
      </x:c>
      <x:c r="D182" s="19" t="str">
        <x:v>内嵌</x:v>
      </x:c>
      <x:c r="E182" s="19" t="str">
        <x:v>连接器级</x:v>
      </x:c>
      <x:c r="F182" s="19" t="str">
        <x:v>MT插芯</x:v>
      </x:c>
    </x:row>
    <x:row r="183" ht="15" hidden="0" customHeight="1">
      <x:c r="A183" s="19" t="str">
        <x:v>400-QDD-SR8-8E8O-VCSEL</x:v>
      </x:c>
      <x:c r="B183" s="19" t="str">
        <x:v>C046</x:v>
      </x:c>
      <x:c r="C183" s="19" t="n">
        <x:v>1</x:v>
      </x:c>
      <x:c r="D183" s="19" t="str">
        <x:v>内嵌</x:v>
      </x:c>
      <x:c r="E183" s="19" t="str">
        <x:v>连接器级</x:v>
      </x:c>
      <x:c r="F183" s="19" t="str">
        <x:v>导针与弹簧</x:v>
      </x:c>
    </x:row>
    <x:row r="184" ht="15" hidden="0" customHeight="1">
      <x:c r="A184" s="19" t="str">
        <x:v>400-QDD-SR8-8E8O-VCSEL</x:v>
      </x:c>
      <x:c r="B184" s="19" t="str">
        <x:v>C053</x:v>
      </x:c>
      <x:c r="C184" s="19" t="n">
        <x:v>1</x:v>
      </x:c>
      <x:c r="D184" s="19" t="str">
        <x:v>必需</x:v>
      </x:c>
      <x:c r="E184" s="19" t="str">
        <x:v>热管理</x:v>
      </x:c>
      <x:c r="F184" s="19" t="str">
        <x:v>TIM</x:v>
      </x:c>
    </x:row>
    <x:row r="185" ht="15" hidden="0" customHeight="1">
      <x:c r="A185" s="19" t="str">
        <x:v>400-QDD-SR8-8E8O-VCSEL</x:v>
      </x:c>
      <x:c r="B185" s="19" t="str">
        <x:v>C054</x:v>
      </x:c>
      <x:c r="C185" s="19" t="n">
        <x:v>1</x:v>
      </x:c>
      <x:c r="D185" s="19" t="str">
        <x:v>按实现</x:v>
      </x:c>
      <x:c r="E185" s="19" t="str">
        <x:v>封装</x:v>
      </x:c>
      <x:c r="F185" s="19" t="str">
        <x:v>光学胶/底填</x:v>
      </x:c>
    </x:row>
    <x:row r="186" ht="15" hidden="0" customHeight="1">
      <x:c r="A186" s="19" t="str">
        <x:v>400-Q112-VR4-4E4O-VCSEL</x:v>
      </x:c>
      <x:c r="B186" s="19" t="str">
        <x:v>C001</x:v>
      </x:c>
      <x:c r="C186" s="19" t="n">
        <x:v>1</x:v>
      </x:c>
      <x:c r="D186" s="19" t="str">
        <x:v>必需</x:v>
      </x:c>
      <x:c r="E186" s="19" t="str">
        <x:v>形态级</x:v>
      </x:c>
      <x:c r="F186" s="19" t="str">
        <x:v>QSFP112</x:v>
      </x:c>
    </x:row>
    <x:row r="187" ht="15" hidden="0" customHeight="1">
      <x:c r="A187" s="19" t="str">
        <x:v>400-Q112-VR4-4E4O-VCSEL</x:v>
      </x:c>
      <x:c r="B187" s="19" t="str">
        <x:v>C002</x:v>
      </x:c>
      <x:c r="C187" s="19" t="n">
        <x:v>1</x:v>
      </x:c>
      <x:c r="D187" s="19" t="str">
        <x:v>必需</x:v>
      </x:c>
      <x:c r="E187" s="19" t="str">
        <x:v>形态级</x:v>
      </x:c>
      <x:c r="F187" s="19" t="str">
        <x:v>散热能力需按功耗校核</x:v>
      </x:c>
    </x:row>
    <x:row r="188" ht="15" hidden="0" customHeight="1">
      <x:c r="A188" s="19" t="str">
        <x:v>400-Q112-VR4-4E4O-VCSEL</x:v>
      </x:c>
      <x:c r="B188" s="19" t="str">
        <x:v>C003</x:v>
      </x:c>
      <x:c r="C188" s="19" t="n">
        <x:v>1</x:v>
      </x:c>
      <x:c r="D188" s="19" t="str">
        <x:v>必需</x:v>
      </x:c>
      <x:c r="E188" s="19" t="str">
        <x:v>形态级</x:v>
      </x:c>
      <x:c r="F188" s="19" t="str">
        <x:v>CPO无传统前面板模块拉环</x:v>
      </x:c>
    </x:row>
    <x:row r="189" ht="15" hidden="0" customHeight="1">
      <x:c r="A189" s="19" t="str">
        <x:v>400-Q112-VR4-4E4O-VCSEL</x:v>
      </x:c>
      <x:c r="B189" s="19" t="str">
        <x:v>C004</x:v>
      </x:c>
      <x:c r="C189" s="19" t="n">
        <x:v>1</x:v>
      </x:c>
      <x:c r="D189" s="19" t="str">
        <x:v>必需</x:v>
      </x:c>
      <x:c r="E189" s="19" t="str">
        <x:v>代表性</x:v>
      </x:c>
      <x:c r="F189" s="19" t="str">
        <x:v>EMI屏蔽结构依外壳设计</x:v>
      </x:c>
    </x:row>
    <x:row r="190" ht="15" hidden="0" customHeight="1">
      <x:c r="A190" s="19" t="str">
        <x:v>400-Q112-VR4-4E4O-VCSEL</x:v>
      </x:c>
      <x:c r="B190" s="19" t="str">
        <x:v>C005</x:v>
      </x:c>
      <x:c r="C190" s="19" t="n">
        <x:v>1</x:v>
      </x:c>
      <x:c r="D190" s="19" t="str">
        <x:v>必需</x:v>
      </x:c>
      <x:c r="E190" s="19" t="str">
        <x:v>代表性</x:v>
      </x:c>
      <x:c r="F190" s="19" t="str">
        <x:v>CPO可采用封装基板+系统PCB</x:v>
      </x:c>
    </x:row>
    <x:row r="191" ht="15" hidden="0" customHeight="1">
      <x:c r="A191" s="19" t="str">
        <x:v>400-Q112-VR4-4E4O-VCSEL</x:v>
      </x:c>
      <x:c r="B191" s="19" t="str">
        <x:v>C056</x:v>
      </x:c>
      <x:c r="C191" s="19" t="n">
        <x:v>1</x:v>
      </x:c>
      <x:c r="D191" s="19" t="str">
        <x:v>必需</x:v>
      </x:c>
      <x:c r="E191" s="19" t="str">
        <x:v>形态级</x:v>
      </x:c>
      <x:c r="F191" s="19" t="str">
        <x:v>可插拔模块主机侧金手指/电连接器</x:v>
      </x:c>
    </x:row>
    <x:row r="192" ht="15" hidden="0" customHeight="1">
      <x:c r="A192" s="19" t="str">
        <x:v>400-Q112-VR4-4E4O-VCSEL</x:v>
      </x:c>
      <x:c r="B192" s="19" t="str">
        <x:v>C057</x:v>
      </x:c>
      <x:c r="C192" s="19" t="n">
        <x:v>1</x:v>
      </x:c>
      <x:c r="D192" s="19" t="str">
        <x:v>系统配套</x:v>
      </x:c>
      <x:c r="E192" s="19" t="str">
        <x:v>系统级</x:v>
      </x:c>
      <x:c r="F192" s="19" t="str">
        <x:v>cage不属于模块内采购BOM</x:v>
      </x:c>
    </x:row>
    <x:row r="193" ht="15" hidden="0" customHeight="1">
      <x:c r="A193" s="19" t="str">
        <x:v>400-Q112-VR4-4E4O-VCSEL</x:v>
      </x:c>
      <x:c r="B193" s="19" t="str">
        <x:v>C007</x:v>
      </x:c>
      <x:c r="C193" s="19" t="n">
        <x:v>1</x:v>
      </x:c>
      <x:c r="D193" s="19" t="str">
        <x:v>必需</x:v>
      </x:c>
      <x:c r="E193" s="19" t="str">
        <x:v>代表性</x:v>
      </x:c>
      <x:c r="F193" s="19" t="str">
        <x:v>光引擎承载基板/Interposer</x:v>
      </x:c>
    </x:row>
    <x:row r="194" ht="15" hidden="0" customHeight="1">
      <x:c r="A194" s="19" t="str">
        <x:v>400-Q112-VR4-4E4O-VCSEL</x:v>
      </x:c>
      <x:c r="B194" s="19" t="str">
        <x:v>C008</x:v>
      </x:c>
      <x:c r="C194" s="19" t="n">
        <x:v>1</x:v>
      </x:c>
      <x:c r="D194" s="19" t="str">
        <x:v>必需</x:v>
      </x:c>
      <x:c r="E194" s="19" t="str">
        <x:v>代表性</x:v>
      </x:c>
      <x:c r="F194" s="19" t="str">
        <x:v>数量按功耗域，不等于精确颗数</x:v>
      </x:c>
    </x:row>
    <x:row r="195" ht="15" hidden="0" customHeight="1">
      <x:c r="A195" s="19" t="str">
        <x:v>400-Q112-VR4-4E4O-VCSEL</x:v>
      </x:c>
      <x:c r="B195" s="19" t="str">
        <x:v>C009</x:v>
      </x:c>
      <x:c r="C195" s="19" t="n">
        <x:v>1</x:v>
      </x:c>
      <x:c r="D195" s="19" t="str">
        <x:v>必需</x:v>
      </x:c>
      <x:c r="E195" s="19" t="str">
        <x:v>管理接口</x:v>
      </x:c>
      <x:c r="F195" s="19" t="str">
        <x:v>可插拔模块使用CMIS管理</x:v>
      </x:c>
    </x:row>
    <x:row r="196" ht="15" hidden="0" customHeight="1">
      <x:c r="A196" s="19" t="str">
        <x:v>400-Q112-VR4-4E4O-VCSEL</x:v>
      </x:c>
      <x:c r="B196" s="19" t="str">
        <x:v>C010</x:v>
      </x:c>
      <x:c r="C196" s="19" t="n">
        <x:v>1</x:v>
      </x:c>
      <x:c r="D196" s="19" t="str">
        <x:v>按实现</x:v>
      </x:c>
      <x:c r="E196" s="19" t="str">
        <x:v>代表性</x:v>
      </x:c>
      <x:c r="F196" s="19" t="str">
        <x:v>模块控制与校准</x:v>
      </x:c>
    </x:row>
    <x:row r="197" ht="15" hidden="0" customHeight="1">
      <x:c r="A197" s="19" t="str">
        <x:v>400-Q112-VR4-4E4O-VCSEL</x:v>
      </x:c>
      <x:c r="B197" s="19" t="str">
        <x:v>C058</x:v>
      </x:c>
      <x:c r="C197" s="19" t="n">
        <x:v>1</x:v>
      </x:c>
      <x:c r="D197" s="19" t="str">
        <x:v>按实现</x:v>
      </x:c>
      <x:c r="E197" s="19" t="str">
        <x:v>时钟架构</x:v>
      </x:c>
      <x:c r="F197" s="19" t="str">
        <x:v>可由主机提供REFCLK或使用模块内时钟器件</x:v>
      </x:c>
    </x:row>
    <x:row r="198" ht="15" hidden="0" customHeight="1">
      <x:c r="A198" s="19" t="str">
        <x:v>400-Q112-VR4-4E4O-VCSEL</x:v>
      </x:c>
      <x:c r="B198" s="19" t="str">
        <x:v>C059</x:v>
      </x:c>
      <x:c r="C198" s="19" t="n">
        <x:v>1</x:v>
      </x:c>
      <x:c r="D198" s="19" t="str">
        <x:v>必需/可集成</x:v>
      </x:c>
      <x:c r="E198" s="19" t="str">
        <x:v>监控功能</x:v>
      </x:c>
      <x:c r="F198" s="19" t="str">
        <x:v>CMIS/控制系统温度监测</x:v>
      </x:c>
    </x:row>
    <x:row r="199" ht="15" hidden="0" customHeight="1">
      <x:c r="A199" s="19" t="str">
        <x:v>400-Q112-VR4-4E4O-VCSEL</x:v>
      </x:c>
      <x:c r="B199" s="19" t="str">
        <x:v>C060</x:v>
      </x:c>
      <x:c r="C199" s="19" t="n">
        <x:v>1</x:v>
      </x:c>
      <x:c r="D199" s="19" t="str">
        <x:v>必需</x:v>
      </x:c>
      <x:c r="E199" s="19" t="str">
        <x:v>器件组</x:v>
      </x:c>
      <x:c r="F199" s="19" t="str">
        <x:v>R/C/L数量不按lane数表示</x:v>
      </x:c>
    </x:row>
    <x:row r="200" ht="15" hidden="0" customHeight="1">
      <x:c r="A200" s="19" t="str">
        <x:v>400-Q112-VR4-4E4O-VCSEL</x:v>
      </x:c>
      <x:c r="B200" s="19" t="str">
        <x:v>C062</x:v>
      </x:c>
      <x:c r="C200" s="19" t="n">
        <x:v>1</x:v>
      </x:c>
      <x:c r="D200" s="19" t="str">
        <x:v>按封装</x:v>
      </x:c>
      <x:c r="E200" s="19" t="str">
        <x:v>互连工艺</x:v>
      </x:c>
      <x:c r="F200" s="19" t="str">
        <x:v>flip-chip平台使用</x:v>
      </x:c>
    </x:row>
    <x:row r="201" ht="15" hidden="0" customHeight="1">
      <x:c r="A201" s="19" t="str">
        <x:v>400-Q112-VR4-4E4O-VCSEL</x:v>
      </x:c>
      <x:c r="B201" s="19" t="str">
        <x:v>C063</x:v>
      </x:c>
      <x:c r="C201" s="19" t="n">
        <x:v>1</x:v>
      </x:c>
      <x:c r="D201" s="19" t="str">
        <x:v>按封装</x:v>
      </x:c>
      <x:c r="E201" s="19" t="str">
        <x:v>互连工艺</x:v>
      </x:c>
      <x:c r="F201" s="19" t="str">
        <x:v>wire/ribbon bond平台使用</x:v>
      </x:c>
    </x:row>
    <x:row r="202" ht="15" hidden="0" customHeight="1">
      <x:c r="A202" s="19" t="str">
        <x:v>400-Q112-VR4-4E4O-VCSEL</x:v>
      </x:c>
      <x:c r="B202" s="19" t="str">
        <x:v>C011</x:v>
      </x:c>
      <x:c r="C202" s="19" t="n">
        <x:v>1</x:v>
      </x:c>
      <x:c r="D202" s="19" t="str">
        <x:v>必需</x:v>
      </x:c>
      <x:c r="E202" s="19" t="str">
        <x:v>架构级</x:v>
      </x:c>
      <x:c r="F202" s="19" t="str">
        <x:v>含DSP</x:v>
      </x:c>
    </x:row>
    <x:row r="203" ht="15" hidden="0" customHeight="1">
      <x:c r="A203" s="19" t="str">
        <x:v>400-Q112-VR4-4E4O-VCSEL</x:v>
      </x:c>
      <x:c r="B203" s="19" t="str">
        <x:v>C014</x:v>
      </x:c>
      <x:c r="C203" s="19" t="n">
        <x:v>4</x:v>
      </x:c>
      <x:c r="D203" s="19" t="str">
        <x:v>必需</x:v>
      </x:c>
      <x:c r="E203" s="19" t="str">
        <x:v>功能通道数</x:v>
      </x:c>
      <x:c r="F203" s="19" t="str">
        <x:v>可能为阵列/多通道die，非精确封装颗数</x:v>
      </x:c>
    </x:row>
    <x:row r="204" ht="15" hidden="0" customHeight="1">
      <x:c r="A204" s="19" t="str">
        <x:v>400-Q112-VR4-4E4O-VCSEL</x:v>
      </x:c>
      <x:c r="B204" s="19" t="str">
        <x:v>C015</x:v>
      </x:c>
      <x:c r="C204" s="19" t="n">
        <x:v>4</x:v>
      </x:c>
      <x:c r="D204" s="19" t="str">
        <x:v>必需</x:v>
      </x:c>
      <x:c r="E204" s="19" t="str">
        <x:v>功能通道数</x:v>
      </x:c>
      <x:c r="F204" s="19" t="str">
        <x:v>可能为阵列/多通道die，非精确封装颗数</x:v>
      </x:c>
    </x:row>
    <x:row r="205" ht="15" hidden="0" customHeight="1">
      <x:c r="A205" s="19" t="str">
        <x:v>400-Q112-VR4-4E4O-VCSEL</x:v>
      </x:c>
      <x:c r="B205" s="19" t="str">
        <x:v>C016</x:v>
      </x:c>
      <x:c r="C205" s="19" t="n">
        <x:v>4</x:v>
      </x:c>
      <x:c r="D205" s="19" t="str">
        <x:v>必需</x:v>
      </x:c>
      <x:c r="E205" s="19" t="str">
        <x:v>光通道</x:v>
      </x:c>
      <x:c r="F205" s="19" t="str">
        <x:v>VCSEL阵列通道数</x:v>
      </x:c>
    </x:row>
    <x:row r="206" ht="15" hidden="0" customHeight="1">
      <x:c r="A206" s="19" t="str">
        <x:v>400-Q112-VR4-4E4O-VCSEL</x:v>
      </x:c>
      <x:c r="B206" s="19" t="str">
        <x:v>C017</x:v>
      </x:c>
      <x:c r="C206" s="19" t="n">
        <x:v>4</x:v>
      </x:c>
      <x:c r="D206" s="19" t="str">
        <x:v>内嵌</x:v>
      </x:c>
      <x:c r="E206" s="19" t="str">
        <x:v>微结构</x:v>
      </x:c>
      <x:c r="F206" s="19" t="str">
        <x:v>每个VCSEL单元的氧化孔径</x:v>
      </x:c>
    </x:row>
    <x:row r="207" ht="15" hidden="0" customHeight="1">
      <x:c r="A207" s="19" t="str">
        <x:v>400-Q112-VR4-4E4O-VCSEL</x:v>
      </x:c>
      <x:c r="B207" s="19" t="str">
        <x:v>C018</x:v>
      </x:c>
      <x:c r="C207" s="19" t="n">
        <x:v>4</x:v>
      </x:c>
      <x:c r="D207" s="19" t="str">
        <x:v>内嵌</x:v>
      </x:c>
      <x:c r="E207" s="19" t="str">
        <x:v>微结构</x:v>
      </x:c>
      <x:c r="F207" s="19" t="str">
        <x:v>上下DBR按外延周期形成，不是独立采购件</x:v>
      </x:c>
    </x:row>
    <x:row r="208" ht="15" hidden="0" customHeight="1">
      <x:c r="A208" s="19" t="str">
        <x:v>400-Q112-VR4-4E4O-VCSEL</x:v>
      </x:c>
      <x:c r="B208" s="19" t="str">
        <x:v>C019</x:v>
      </x:c>
      <x:c r="C208" s="19" t="n">
        <x:v>4</x:v>
      </x:c>
      <x:c r="D208" s="19" t="str">
        <x:v>内嵌</x:v>
      </x:c>
      <x:c r="E208" s="19" t="str">
        <x:v>微结构</x:v>
      </x:c>
      <x:c r="F208" s="19" t="str">
        <x:v>谐振腔</x:v>
      </x:c>
    </x:row>
    <x:row r="209" ht="15" hidden="0" customHeight="1">
      <x:c r="A209" s="19" t="str">
        <x:v>400-Q112-VR4-4E4O-VCSEL</x:v>
      </x:c>
      <x:c r="B209" s="19" t="str">
        <x:v>C068</x:v>
      </x:c>
      <x:c r="C209" s="19" t="n">
        <x:v>4</x:v>
      </x:c>
      <x:c r="D209" s="19" t="str">
        <x:v>内嵌</x:v>
      </x:c>
      <x:c r="E209" s="19" t="str">
        <x:v>微结构</x:v>
      </x:c>
      <x:c r="F209" s="19" t="str">
        <x:v>VCSEL量子阱有源区</x:v>
      </x:c>
    </x:row>
    <x:row r="210" ht="15" hidden="0" customHeight="1">
      <x:c r="A210" s="19" t="str">
        <x:v>400-Q112-VR4-4E4O-VCSEL</x:v>
      </x:c>
      <x:c r="B210" s="19" t="str">
        <x:v>C061</x:v>
      </x:c>
      <x:c r="C210" s="19" t="n">
        <x:v>1</x:v>
      </x:c>
      <x:c r="D210" s="19" t="str">
        <x:v>按封装</x:v>
      </x:c>
      <x:c r="E210" s="19" t="str">
        <x:v>封装</x:v>
      </x:c>
      <x:c r="F210" s="19" t="str">
        <x:v>VCSEL/PD阵列承载</x:v>
      </x:c>
    </x:row>
    <x:row r="211" ht="15" hidden="0" customHeight="1">
      <x:c r="A211" s="19" t="str">
        <x:v>400-Q112-VR4-4E4O-VCSEL</x:v>
      </x:c>
      <x:c r="B211" s="19" t="str">
        <x:v>C032</x:v>
      </x:c>
      <x:c r="C211" s="19" t="n">
        <x:v>4</x:v>
      </x:c>
      <x:c r="D211" s="19" t="str">
        <x:v>必需</x:v>
      </x:c>
      <x:c r="E211" s="19" t="str">
        <x:v>光通道</x:v>
      </x:c>
      <x:c r="F211" s="19" t="str">
        <x:v>GaAs PIN Array</x:v>
      </x:c>
    </x:row>
    <x:row r="212" ht="15" hidden="0" customHeight="1">
      <x:c r="A212" s="19" t="str">
        <x:v>400-Q112-VR4-4E4O-VCSEL</x:v>
      </x:c>
      <x:c r="B212" s="19" t="str">
        <x:v>C050</x:v>
      </x:c>
      <x:c r="C212" s="19" t="n">
        <x:v>4</x:v>
      </x:c>
      <x:c r="D212" s="19" t="str">
        <x:v>必需</x:v>
      </x:c>
      <x:c r="E212" s="19" t="str">
        <x:v>光纤通道</x:v>
      </x:c>
      <x:c r="F212" s="19" t="str">
        <x:v>MMF</x:v>
      </x:c>
    </x:row>
    <x:row r="213" ht="15" hidden="0" customHeight="1">
      <x:c r="A213" s="19"/>
      <x:c r="B213" s="19"/>
      <x:c r="C213" s="19"/>
      <x:c r="D213" s="19"/>
      <x:c r="E213" s="19"/>
      <x:c r="F213" s="19"/>
    </x:row>
    <x:row r="214" ht="15" hidden="0" customHeight="1">
      <x:c r="A214" s="19"/>
      <x:c r="B214" s="19"/>
      <x:c r="C214" s="19"/>
      <x:c r="D214" s="19"/>
      <x:c r="E214" s="19"/>
      <x:c r="F214" s="19"/>
    </x:row>
    <x:row r="215" ht="15" hidden="0" customHeight="1">
      <x:c r="A215" s="19"/>
      <x:c r="B215" s="19"/>
      <x:c r="C215" s="19"/>
      <x:c r="D215" s="19"/>
      <x:c r="E215" s="19"/>
      <x:c r="F215" s="19"/>
    </x:row>
    <x:row r="216" ht="15" hidden="0" customHeight="1">
      <x:c r="A216" s="19" t="str">
        <x:v>400-Q112-VR4-4E4O-VCSEL</x:v>
      </x:c>
      <x:c r="B216" s="19" t="str">
        <x:v>C037</x:v>
      </x:c>
      <x:c r="C216" s="19" t="n">
        <x:v>4</x:v>
      </x:c>
      <x:c r="D216" s="19" t="str">
        <x:v>按实现</x:v>
      </x:c>
      <x:c r="E216" s="19" t="str">
        <x:v>光通道</x:v>
      </x:c>
      <x:c r="F216" s="19" t="str">
        <x:v>自由空间/阵列耦合时使用</x:v>
      </x:c>
    </x:row>
    <x:row r="217" ht="15" hidden="0" customHeight="1">
      <x:c r="A217" s="19" t="str">
        <x:v>400-Q112-VR4-4E4O-VCSEL</x:v>
      </x:c>
      <x:c r="B217" s="19" t="str">
        <x:v>C038</x:v>
      </x:c>
      <x:c r="C217" s="19" t="n">
        <x:v>4</x:v>
      </x:c>
      <x:c r="D217" s="19" t="str">
        <x:v>按实现</x:v>
      </x:c>
      <x:c r="E217" s="19" t="str">
        <x:v>光通道</x:v>
      </x:c>
      <x:c r="F217" s="19" t="str">
        <x:v>FAU可能按阵列封装，不等于单根数量</x:v>
      </x:c>
    </x:row>
    <x:row r="218" ht="15" hidden="0" customHeight="1">
      <x:c r="A218" s="19" t="str">
        <x:v>400-Q112-VR4-4E4O-VCSEL</x:v>
      </x:c>
      <x:c r="B218" s="19" t="str">
        <x:v>C044</x:v>
      </x:c>
      <x:c r="C218" s="19" t="n">
        <x:v>1</x:v>
      </x:c>
      <x:c r="D218" s="19" t="str">
        <x:v>必需</x:v>
      </x:c>
      <x:c r="E218" s="19" t="str">
        <x:v>连接器级</x:v>
      </x:c>
      <x:c r="F218" s="19" t="str">
        <x:v>MPO12</x:v>
      </x:c>
    </x:row>
    <x:row r="219" ht="15" hidden="0" customHeight="1">
      <x:c r="A219" s="19" t="str">
        <x:v>400-Q112-VR4-4E4O-VCSEL</x:v>
      </x:c>
      <x:c r="B219" s="19" t="str">
        <x:v>C045</x:v>
      </x:c>
      <x:c r="C219" s="19" t="n">
        <x:v>1</x:v>
      </x:c>
      <x:c r="D219" s="19" t="str">
        <x:v>内嵌</x:v>
      </x:c>
      <x:c r="E219" s="19" t="str">
        <x:v>连接器级</x:v>
      </x:c>
      <x:c r="F219" s="19" t="str">
        <x:v>MT插芯</x:v>
      </x:c>
    </x:row>
    <x:row r="220" ht="15" hidden="0" customHeight="1">
      <x:c r="A220" s="19" t="str">
        <x:v>400-Q112-VR4-4E4O-VCSEL</x:v>
      </x:c>
      <x:c r="B220" s="19" t="str">
        <x:v>C046</x:v>
      </x:c>
      <x:c r="C220" s="19" t="n">
        <x:v>1</x:v>
      </x:c>
      <x:c r="D220" s="19" t="str">
        <x:v>内嵌</x:v>
      </x:c>
      <x:c r="E220" s="19" t="str">
        <x:v>连接器级</x:v>
      </x:c>
      <x:c r="F220" s="19" t="str">
        <x:v>导针与弹簧</x:v>
      </x:c>
    </x:row>
    <x:row r="221" ht="15" hidden="0" customHeight="1">
      <x:c r="A221" s="19" t="str">
        <x:v>400-Q112-VR4-4E4O-VCSEL</x:v>
      </x:c>
      <x:c r="B221" s="19" t="str">
        <x:v>C053</x:v>
      </x:c>
      <x:c r="C221" s="19" t="n">
        <x:v>1</x:v>
      </x:c>
      <x:c r="D221" s="19" t="str">
        <x:v>必需</x:v>
      </x:c>
      <x:c r="E221" s="19" t="str">
        <x:v>热管理</x:v>
      </x:c>
      <x:c r="F221" s="19" t="str">
        <x:v>TIM</x:v>
      </x:c>
    </x:row>
    <x:row r="222" ht="15" hidden="0" customHeight="1">
      <x:c r="A222" s="19" t="str">
        <x:v>400-Q112-VR4-4E4O-VCSEL</x:v>
      </x:c>
      <x:c r="B222" s="19" t="str">
        <x:v>C054</x:v>
      </x:c>
      <x:c r="C222" s="19" t="n">
        <x:v>1</x:v>
      </x:c>
      <x:c r="D222" s="19" t="str">
        <x:v>按实现</x:v>
      </x:c>
      <x:c r="E222" s="19" t="str">
        <x:v>封装</x:v>
      </x:c>
      <x:c r="F222" s="19" t="str">
        <x:v>光学胶/底填</x:v>
      </x:c>
    </x:row>
    <x:row r="223" ht="15" hidden="0" customHeight="1">
      <x:c r="A223" s="19" t="str">
        <x:v>400-O112-DR4-4E4O-EML</x:v>
      </x:c>
      <x:c r="B223" s="19" t="str">
        <x:v>C001</x:v>
      </x:c>
      <x:c r="C223" s="19" t="n">
        <x:v>1</x:v>
      </x:c>
      <x:c r="D223" s="19" t="str">
        <x:v>必需</x:v>
      </x:c>
      <x:c r="E223" s="19" t="str">
        <x:v>形态级</x:v>
      </x:c>
      <x:c r="F223" s="19" t="str">
        <x:v>OSFP112</x:v>
      </x:c>
    </x:row>
    <x:row r="224" ht="15" hidden="0" customHeight="1">
      <x:c r="A224" s="19" t="str">
        <x:v>400-O112-DR4-4E4O-EML</x:v>
      </x:c>
      <x:c r="B224" s="19" t="str">
        <x:v>C002</x:v>
      </x:c>
      <x:c r="C224" s="19" t="n">
        <x:v>1</x:v>
      </x:c>
      <x:c r="D224" s="19" t="str">
        <x:v>必需</x:v>
      </x:c>
      <x:c r="E224" s="19" t="str">
        <x:v>形态级</x:v>
      </x:c>
      <x:c r="F224" s="19" t="str">
        <x:v>散热能力需按功耗校核</x:v>
      </x:c>
    </x:row>
    <x:row r="225" ht="15" hidden="0" customHeight="1">
      <x:c r="A225" s="19" t="str">
        <x:v>400-O112-DR4-4E4O-EML</x:v>
      </x:c>
      <x:c r="B225" s="19" t="str">
        <x:v>C003</x:v>
      </x:c>
      <x:c r="C225" s="19" t="n">
        <x:v>1</x:v>
      </x:c>
      <x:c r="D225" s="19" t="str">
        <x:v>必需</x:v>
      </x:c>
      <x:c r="E225" s="19" t="str">
        <x:v>形态级</x:v>
      </x:c>
      <x:c r="F225" s="19" t="str">
        <x:v>CPO无传统前面板模块拉环</x:v>
      </x:c>
    </x:row>
    <x:row r="226" ht="15" hidden="0" customHeight="1">
      <x:c r="A226" s="19" t="str">
        <x:v>400-O112-DR4-4E4O-EML</x:v>
      </x:c>
      <x:c r="B226" s="19" t="str">
        <x:v>C004</x:v>
      </x:c>
      <x:c r="C226" s="19" t="n">
        <x:v>1</x:v>
      </x:c>
      <x:c r="D226" s="19" t="str">
        <x:v>必需</x:v>
      </x:c>
      <x:c r="E226" s="19" t="str">
        <x:v>代表性</x:v>
      </x:c>
      <x:c r="F226" s="19" t="str">
        <x:v>EMI屏蔽结构依外壳设计</x:v>
      </x:c>
    </x:row>
    <x:row r="227" ht="15" hidden="0" customHeight="1">
      <x:c r="A227" s="19" t="str">
        <x:v>400-O112-DR4-4E4O-EML</x:v>
      </x:c>
      <x:c r="B227" s="19" t="str">
        <x:v>C005</x:v>
      </x:c>
      <x:c r="C227" s="19" t="n">
        <x:v>1</x:v>
      </x:c>
      <x:c r="D227" s="19" t="str">
        <x:v>必需</x:v>
      </x:c>
      <x:c r="E227" s="19" t="str">
        <x:v>代表性</x:v>
      </x:c>
      <x:c r="F227" s="19" t="str">
        <x:v>CPO可采用封装基板+系统PCB</x:v>
      </x:c>
    </x:row>
    <x:row r="228" ht="15" hidden="0" customHeight="1">
      <x:c r="A228" s="19" t="str">
        <x:v>400-O112-DR4-4E4O-EML</x:v>
      </x:c>
      <x:c r="B228" s="19" t="str">
        <x:v>C056</x:v>
      </x:c>
      <x:c r="C228" s="19" t="n">
        <x:v>1</x:v>
      </x:c>
      <x:c r="D228" s="19" t="str">
        <x:v>必需</x:v>
      </x:c>
      <x:c r="E228" s="19" t="str">
        <x:v>形态级</x:v>
      </x:c>
      <x:c r="F228" s="19" t="str">
        <x:v>可插拔模块主机侧金手指/电连接器</x:v>
      </x:c>
    </x:row>
    <x:row r="229" ht="15" hidden="0" customHeight="1">
      <x:c r="A229" s="19" t="str">
        <x:v>400-O112-DR4-4E4O-EML</x:v>
      </x:c>
      <x:c r="B229" s="19" t="str">
        <x:v>C057</x:v>
      </x:c>
      <x:c r="C229" s="19" t="n">
        <x:v>1</x:v>
      </x:c>
      <x:c r="D229" s="19" t="str">
        <x:v>系统配套</x:v>
      </x:c>
      <x:c r="E229" s="19" t="str">
        <x:v>系统级</x:v>
      </x:c>
      <x:c r="F229" s="19" t="str">
        <x:v>cage不属于模块内采购BOM</x:v>
      </x:c>
    </x:row>
    <x:row r="230" ht="15" hidden="0" customHeight="1">
      <x:c r="A230" s="19" t="str">
        <x:v>400-O112-DR4-4E4O-EML</x:v>
      </x:c>
      <x:c r="B230" s="19" t="str">
        <x:v>C007</x:v>
      </x:c>
      <x:c r="C230" s="19" t="n">
        <x:v>1</x:v>
      </x:c>
      <x:c r="D230" s="19" t="str">
        <x:v>必需</x:v>
      </x:c>
      <x:c r="E230" s="19" t="str">
        <x:v>代表性</x:v>
      </x:c>
      <x:c r="F230" s="19" t="str">
        <x:v>光引擎承载基板/Interposer</x:v>
      </x:c>
    </x:row>
    <x:row r="231" ht="15" hidden="0" customHeight="1">
      <x:c r="A231" s="19" t="str">
        <x:v>400-O112-DR4-4E4O-EML</x:v>
      </x:c>
      <x:c r="B231" s="19" t="str">
        <x:v>C008</x:v>
      </x:c>
      <x:c r="C231" s="19" t="n">
        <x:v>1</x:v>
      </x:c>
      <x:c r="D231" s="19" t="str">
        <x:v>必需</x:v>
      </x:c>
      <x:c r="E231" s="19" t="str">
        <x:v>代表性</x:v>
      </x:c>
      <x:c r="F231" s="19" t="str">
        <x:v>数量按功耗域，不等于精确颗数</x:v>
      </x:c>
    </x:row>
    <x:row r="232" ht="15" hidden="0" customHeight="1">
      <x:c r="A232" s="19" t="str">
        <x:v>400-O112-DR4-4E4O-EML</x:v>
      </x:c>
      <x:c r="B232" s="19" t="str">
        <x:v>C009</x:v>
      </x:c>
      <x:c r="C232" s="19" t="n">
        <x:v>1</x:v>
      </x:c>
      <x:c r="D232" s="19" t="str">
        <x:v>必需</x:v>
      </x:c>
      <x:c r="E232" s="19" t="str">
        <x:v>管理接口</x:v>
      </x:c>
      <x:c r="F232" s="19" t="str">
        <x:v>可插拔模块使用CMIS管理</x:v>
      </x:c>
    </x:row>
    <x:row r="233" ht="15" hidden="0" customHeight="1">
      <x:c r="A233" s="19" t="str">
        <x:v>400-O112-DR4-4E4O-EML</x:v>
      </x:c>
      <x:c r="B233" s="19" t="str">
        <x:v>C010</x:v>
      </x:c>
      <x:c r="C233" s="19" t="n">
        <x:v>1</x:v>
      </x:c>
      <x:c r="D233" s="19" t="str">
        <x:v>按实现</x:v>
      </x:c>
      <x:c r="E233" s="19" t="str">
        <x:v>代表性</x:v>
      </x:c>
      <x:c r="F233" s="19" t="str">
        <x:v>模块控制与校准</x:v>
      </x:c>
    </x:row>
    <x:row r="234" ht="15" hidden="0" customHeight="1">
      <x:c r="A234" s="19" t="str">
        <x:v>400-O112-DR4-4E4O-EML</x:v>
      </x:c>
      <x:c r="B234" s="19" t="str">
        <x:v>C058</x:v>
      </x:c>
      <x:c r="C234" s="19" t="n">
        <x:v>1</x:v>
      </x:c>
      <x:c r="D234" s="19" t="str">
        <x:v>按实现</x:v>
      </x:c>
      <x:c r="E234" s="19" t="str">
        <x:v>时钟架构</x:v>
      </x:c>
      <x:c r="F234" s="19" t="str">
        <x:v>可由主机提供REFCLK或使用模块内时钟器件</x:v>
      </x:c>
    </x:row>
    <x:row r="235" ht="15" hidden="0" customHeight="1">
      <x:c r="A235" s="19" t="str">
        <x:v>400-O112-DR4-4E4O-EML</x:v>
      </x:c>
      <x:c r="B235" s="19" t="str">
        <x:v>C059</x:v>
      </x:c>
      <x:c r="C235" s="19" t="n">
        <x:v>1</x:v>
      </x:c>
      <x:c r="D235" s="19" t="str">
        <x:v>必需/可集成</x:v>
      </x:c>
      <x:c r="E235" s="19" t="str">
        <x:v>监控功能</x:v>
      </x:c>
      <x:c r="F235" s="19" t="str">
        <x:v>CMIS/控制系统温度监测</x:v>
      </x:c>
    </x:row>
    <x:row r="236" ht="15" hidden="0" customHeight="1">
      <x:c r="A236" s="19" t="str">
        <x:v>400-O112-DR4-4E4O-EML</x:v>
      </x:c>
      <x:c r="B236" s="19" t="str">
        <x:v>C060</x:v>
      </x:c>
      <x:c r="C236" s="19" t="n">
        <x:v>1</x:v>
      </x:c>
      <x:c r="D236" s="19" t="str">
        <x:v>必需</x:v>
      </x:c>
      <x:c r="E236" s="19" t="str">
        <x:v>器件组</x:v>
      </x:c>
      <x:c r="F236" s="19" t="str">
        <x:v>R/C/L数量不按lane数表示</x:v>
      </x:c>
    </x:row>
    <x:row r="237" ht="15" hidden="0" customHeight="1">
      <x:c r="A237" s="19" t="str">
        <x:v>400-O112-DR4-4E4O-EML</x:v>
      </x:c>
      <x:c r="B237" s="19" t="str">
        <x:v>C062</x:v>
      </x:c>
      <x:c r="C237" s="19" t="n">
        <x:v>1</x:v>
      </x:c>
      <x:c r="D237" s="19" t="str">
        <x:v>按封装</x:v>
      </x:c>
      <x:c r="E237" s="19" t="str">
        <x:v>互连工艺</x:v>
      </x:c>
      <x:c r="F237" s="19" t="str">
        <x:v>flip-chip平台使用</x:v>
      </x:c>
    </x:row>
    <x:row r="238" ht="15" hidden="0" customHeight="1">
      <x:c r="A238" s="19" t="str">
        <x:v>400-O112-DR4-4E4O-EML</x:v>
      </x:c>
      <x:c r="B238" s="19" t="str">
        <x:v>C063</x:v>
      </x:c>
      <x:c r="C238" s="19" t="n">
        <x:v>1</x:v>
      </x:c>
      <x:c r="D238" s="19" t="str">
        <x:v>按封装</x:v>
      </x:c>
      <x:c r="E238" s="19" t="str">
        <x:v>互连工艺</x:v>
      </x:c>
      <x:c r="F238" s="19" t="str">
        <x:v>wire/ribbon bond平台使用</x:v>
      </x:c>
    </x:row>
    <x:row r="239" ht="15" hidden="0" customHeight="1">
      <x:c r="A239" s="19" t="str">
        <x:v>400-O112-DR4-4E4O-EML</x:v>
      </x:c>
      <x:c r="B239" s="19" t="str">
        <x:v>C011</x:v>
      </x:c>
      <x:c r="C239" s="19" t="n">
        <x:v>1</x:v>
      </x:c>
      <x:c r="D239" s="19" t="str">
        <x:v>必需</x:v>
      </x:c>
      <x:c r="E239" s="19" t="str">
        <x:v>架构级</x:v>
      </x:c>
      <x:c r="F239" s="19" t="str">
        <x:v>含DSP</x:v>
      </x:c>
    </x:row>
    <x:row r="240" ht="15" hidden="0" customHeight="1">
      <x:c r="A240" s="19" t="str">
        <x:v>400-O112-DR4-4E4O-EML</x:v>
      </x:c>
      <x:c r="B240" s="19" t="str">
        <x:v>C014</x:v>
      </x:c>
      <x:c r="C240" s="19" t="n">
        <x:v>4</x:v>
      </x:c>
      <x:c r="D240" s="19" t="str">
        <x:v>必需</x:v>
      </x:c>
      <x:c r="E240" s="19" t="str">
        <x:v>功能通道数</x:v>
      </x:c>
      <x:c r="F240" s="19" t="str">
        <x:v>可能为阵列/多通道die，非精确封装颗数</x:v>
      </x:c>
    </x:row>
    <x:row r="241" ht="15" hidden="0" customHeight="1">
      <x:c r="A241" s="19" t="str">
        <x:v>400-O112-DR4-4E4O-EML</x:v>
      </x:c>
      <x:c r="B241" s="19" t="str">
        <x:v>C015</x:v>
      </x:c>
      <x:c r="C241" s="19" t="n">
        <x:v>4</x:v>
      </x:c>
      <x:c r="D241" s="19" t="str">
        <x:v>必需</x:v>
      </x:c>
      <x:c r="E241" s="19" t="str">
        <x:v>功能通道数</x:v>
      </x:c>
      <x:c r="F241" s="19" t="str">
        <x:v>可能为阵列/多通道die，非精确封装颗数</x:v>
      </x:c>
    </x:row>
    <x:row r="242" ht="15" hidden="0" customHeight="1">
      <x:c r="A242" s="19" t="str">
        <x:v>400-O112-DR4-4E4O-EML</x:v>
      </x:c>
      <x:c r="B242" s="19" t="str">
        <x:v>C021</x:v>
      </x:c>
      <x:c r="C242" s="19" t="n">
        <x:v>4</x:v>
      </x:c>
      <x:c r="D242" s="19" t="str">
        <x:v>必需</x:v>
      </x:c>
      <x:c r="E242" s="19" t="str">
        <x:v>光通道</x:v>
      </x:c>
      <x:c r="F242" s="19" t="str">
        <x:v>可为阵列/多通道封装</x:v>
      </x:c>
    </x:row>
    <x:row r="243" ht="15" hidden="0" customHeight="1">
      <x:c r="A243" s="19" t="str">
        <x:v>400-O112-DR4-4E4O-EML</x:v>
      </x:c>
      <x:c r="B243" s="19" t="str">
        <x:v>C022</x:v>
      </x:c>
      <x:c r="C243" s="19" t="n">
        <x:v>4</x:v>
      </x:c>
      <x:c r="D243" s="19" t="str">
        <x:v>内嵌</x:v>
      </x:c>
      <x:c r="E243" s="19" t="str">
        <x:v>微结构</x:v>
      </x:c>
      <x:c r="F243" s="19" t="str">
        <x:v>DFB/DBR波长选择结构</x:v>
      </x:c>
    </x:row>
    <x:row r="244" ht="15" hidden="0" customHeight="1">
      <x:c r="A244" s="19" t="str">
        <x:v>400-O112-DR4-4E4O-EML</x:v>
      </x:c>
      <x:c r="B244" s="19" t="str">
        <x:v>C067</x:v>
      </x:c>
      <x:c r="C244" s="19" t="n">
        <x:v>4</x:v>
      </x:c>
      <x:c r="D244" s="19" t="str">
        <x:v>内嵌</x:v>
      </x:c>
      <x:c r="E244" s="19" t="str">
        <x:v>微结构</x:v>
      </x:c>
      <x:c r="F244" s="19" t="str">
        <x:v>EML内部EAM调制区</x:v>
      </x:c>
    </x:row>
    <x:row r="245" ht="15" hidden="0" customHeight="1">
      <x:c r="A245" s="19" t="str">
        <x:v>400-O112-DR4-4E4O-EML</x:v>
      </x:c>
      <x:c r="B245" s="19" t="str">
        <x:v>C068</x:v>
      </x:c>
      <x:c r="C245" s="19" t="n">
        <x:v>4</x:v>
      </x:c>
      <x:c r="D245" s="19" t="str">
        <x:v>内嵌</x:v>
      </x:c>
      <x:c r="E245" s="19" t="str">
        <x:v>微结构</x:v>
      </x:c>
      <x:c r="F245" s="19" t="str">
        <x:v>激光器/调制器量子阱有源区</x:v>
      </x:c>
    </x:row>
    <x:row r="246" ht="15" hidden="0" customHeight="1">
      <x:c r="A246" s="19" t="str">
        <x:v>400-O112-DR4-4E4O-EML</x:v>
      </x:c>
      <x:c r="B246" s="19" t="str">
        <x:v>C069</x:v>
      </x:c>
      <x:c r="C246" s="19" t="n">
        <x:v>4</x:v>
      </x:c>
      <x:c r="D246" s="19" t="str">
        <x:v>内嵌</x:v>
      </x:c>
      <x:c r="E246" s="19" t="str">
        <x:v>工艺</x:v>
      </x:c>
      <x:c r="F246" s="19" t="str">
        <x:v>端面AR/HR膜</x:v>
      </x:c>
    </x:row>
    <x:row r="247" ht="15" hidden="0" customHeight="1">
      <x:c r="A247" s="19" t="str">
        <x:v>400-O112-DR4-4E4O-EML</x:v>
      </x:c>
      <x:c r="B247" s="19" t="str">
        <x:v>C061</x:v>
      </x:c>
      <x:c r="C247" s="19" t="n">
        <x:v>1</x:v>
      </x:c>
      <x:c r="D247" s="19" t="str">
        <x:v>必需</x:v>
      </x:c>
      <x:c r="E247" s="19" t="str">
        <x:v>封装</x:v>
      </x:c>
      <x:c r="F247" s="19" t="str">
        <x:v>EML/PD阵列承载</x:v>
      </x:c>
    </x:row>
    <x:row r="248" ht="15" hidden="0" customHeight="1">
      <x:c r="A248" s="19" t="str">
        <x:v>400-O112-DR4-4E4O-EML</x:v>
      </x:c>
      <x:c r="B248" s="19" t="str">
        <x:v>C031</x:v>
      </x:c>
      <x:c r="C248" s="19" t="n">
        <x:v>4</x:v>
      </x:c>
      <x:c r="D248" s="19" t="str">
        <x:v>必需</x:v>
      </x:c>
      <x:c r="E248" s="19" t="str">
        <x:v>光通道</x:v>
      </x:c>
      <x:c r="F248" s="19" t="str">
        <x:v>InGaAs PIN</x:v>
      </x:c>
    </x:row>
    <x:row r="249" ht="15" hidden="0" customHeight="1">
      <x:c r="A249" s="19" t="str">
        <x:v>400-O112-DR4-4E4O-EML</x:v>
      </x:c>
      <x:c r="B249" s="19" t="str">
        <x:v>C049</x:v>
      </x:c>
      <x:c r="C249" s="19" t="n">
        <x:v>4</x:v>
      </x:c>
      <x:c r="D249" s="19" t="str">
        <x:v>必需</x:v>
      </x:c>
      <x:c r="E249" s="19" t="str">
        <x:v>光纤通道</x:v>
      </x:c>
      <x:c r="F249" s="19" t="str">
        <x:v>PSM SMF</x:v>
      </x:c>
    </x:row>
    <x:row r="250" ht="15" hidden="0" customHeight="1">
      <x:c r="A250" s="19"/>
      <x:c r="B250" s="19"/>
      <x:c r="C250" s="19"/>
      <x:c r="D250" s="19"/>
      <x:c r="E250" s="19"/>
      <x:c r="F250" s="19"/>
    </x:row>
    <x:row r="251" ht="15" hidden="0" customHeight="1">
      <x:c r="A251" s="19"/>
      <x:c r="B251" s="19"/>
      <x:c r="C251" s="19"/>
      <x:c r="D251" s="19"/>
      <x:c r="E251" s="19"/>
      <x:c r="F251" s="19"/>
    </x:row>
    <x:row r="252" ht="15" hidden="0" customHeight="1">
      <x:c r="A252" s="19"/>
      <x:c r="B252" s="19"/>
      <x:c r="C252" s="19"/>
      <x:c r="D252" s="19"/>
      <x:c r="E252" s="19"/>
      <x:c r="F252" s="19"/>
    </x:row>
    <x:row r="253" ht="15" hidden="0" customHeight="1">
      <x:c r="A253" s="19" t="str">
        <x:v>400-O112-DR4-4E4O-EML</x:v>
      </x:c>
      <x:c r="B253" s="19" t="str">
        <x:v>C037</x:v>
      </x:c>
      <x:c r="C253" s="19" t="n">
        <x:v>4</x:v>
      </x:c>
      <x:c r="D253" s="19" t="str">
        <x:v>按实现</x:v>
      </x:c>
      <x:c r="E253" s="19" t="str">
        <x:v>光通道</x:v>
      </x:c>
      <x:c r="F253" s="19" t="str">
        <x:v>自由空间/阵列耦合时使用</x:v>
      </x:c>
    </x:row>
    <x:row r="254" ht="15" hidden="0" customHeight="1">
      <x:c r="A254" s="19" t="str">
        <x:v>400-O112-DR4-4E4O-EML</x:v>
      </x:c>
      <x:c r="B254" s="19" t="str">
        <x:v>C038</x:v>
      </x:c>
      <x:c r="C254" s="19" t="n">
        <x:v>4</x:v>
      </x:c>
      <x:c r="D254" s="19" t="str">
        <x:v>按实现</x:v>
      </x:c>
      <x:c r="E254" s="19" t="str">
        <x:v>光通道</x:v>
      </x:c>
      <x:c r="F254" s="19" t="str">
        <x:v>FAU可能按阵列封装，不等于单根数量</x:v>
      </x:c>
    </x:row>
    <x:row r="255" ht="15" hidden="0" customHeight="1">
      <x:c r="A255" s="19" t="str">
        <x:v>400-O112-DR4-4E4O-EML</x:v>
      </x:c>
      <x:c r="B255" s="19" t="str">
        <x:v>C044</x:v>
      </x:c>
      <x:c r="C255" s="19" t="n">
        <x:v>1</x:v>
      </x:c>
      <x:c r="D255" s="19" t="str">
        <x:v>必需</x:v>
      </x:c>
      <x:c r="E255" s="19" t="str">
        <x:v>连接器级</x:v>
      </x:c>
      <x:c r="F255" s="19" t="str">
        <x:v>MPO12</x:v>
      </x:c>
    </x:row>
    <x:row r="256" ht="15" hidden="0" customHeight="1">
      <x:c r="A256" s="19" t="str">
        <x:v>400-O112-DR4-4E4O-EML</x:v>
      </x:c>
      <x:c r="B256" s="19" t="str">
        <x:v>C045</x:v>
      </x:c>
      <x:c r="C256" s="19" t="n">
        <x:v>1</x:v>
      </x:c>
      <x:c r="D256" s="19" t="str">
        <x:v>内嵌</x:v>
      </x:c>
      <x:c r="E256" s="19" t="str">
        <x:v>连接器级</x:v>
      </x:c>
      <x:c r="F256" s="19" t="str">
        <x:v>MT插芯</x:v>
      </x:c>
    </x:row>
    <x:row r="257" ht="15" hidden="0" customHeight="1">
      <x:c r="A257" s="19" t="str">
        <x:v>400-O112-DR4-4E4O-EML</x:v>
      </x:c>
      <x:c r="B257" s="19" t="str">
        <x:v>C046</x:v>
      </x:c>
      <x:c r="C257" s="19" t="n">
        <x:v>1</x:v>
      </x:c>
      <x:c r="D257" s="19" t="str">
        <x:v>内嵌</x:v>
      </x:c>
      <x:c r="E257" s="19" t="str">
        <x:v>连接器级</x:v>
      </x:c>
      <x:c r="F257" s="19" t="str">
        <x:v>导针与弹簧</x:v>
      </x:c>
    </x:row>
    <x:row r="258" ht="15" hidden="0" customHeight="1">
      <x:c r="A258" s="19" t="str">
        <x:v>400-O112-DR4-4E4O-EML</x:v>
      </x:c>
      <x:c r="B258" s="19" t="str">
        <x:v>C053</x:v>
      </x:c>
      <x:c r="C258" s="19" t="n">
        <x:v>1</x:v>
      </x:c>
      <x:c r="D258" s="19" t="str">
        <x:v>必需</x:v>
      </x:c>
      <x:c r="E258" s="19" t="str">
        <x:v>热管理</x:v>
      </x:c>
      <x:c r="F258" s="19" t="str">
        <x:v>TIM</x:v>
      </x:c>
    </x:row>
    <x:row r="259" ht="15" hidden="0" customHeight="1">
      <x:c r="A259" s="19" t="str">
        <x:v>400-O112-DR4-4E4O-EML</x:v>
      </x:c>
      <x:c r="B259" s="19" t="str">
        <x:v>C054</x:v>
      </x:c>
      <x:c r="C259" s="19" t="n">
        <x:v>1</x:v>
      </x:c>
      <x:c r="D259" s="19" t="str">
        <x:v>按实现</x:v>
      </x:c>
      <x:c r="E259" s="19" t="str">
        <x:v>封装</x:v>
      </x:c>
      <x:c r="F259" s="19" t="str">
        <x:v>光学胶/底填</x:v>
      </x:c>
    </x:row>
    <x:row r="260" ht="15" hidden="0" customHeight="1">
      <x:c r="A260" s="19" t="str">
        <x:v>400-QDD-AOC-8E8O-VCSEL</x:v>
      </x:c>
      <x:c r="B260" s="19" t="str">
        <x:v>C001</x:v>
      </x:c>
      <x:c r="C260" s="19" t="n">
        <x:v>1</x:v>
      </x:c>
      <x:c r="D260" s="19" t="str">
        <x:v>必需</x:v>
      </x:c>
      <x:c r="E260" s="19" t="str">
        <x:v>形态级</x:v>
      </x:c>
      <x:c r="F260" s="19" t="str">
        <x:v>QSFP-DD AOC</x:v>
      </x:c>
    </x:row>
    <x:row r="261" ht="15" hidden="0" customHeight="1">
      <x:c r="A261" s="19" t="str">
        <x:v>400-QDD-AOC-8E8O-VCSEL</x:v>
      </x:c>
      <x:c r="B261" s="19" t="str">
        <x:v>C002</x:v>
      </x:c>
      <x:c r="C261" s="19" t="n">
        <x:v>1</x:v>
      </x:c>
      <x:c r="D261" s="19" t="str">
        <x:v>必需</x:v>
      </x:c>
      <x:c r="E261" s="19" t="str">
        <x:v>形态级</x:v>
      </x:c>
      <x:c r="F261" s="19" t="str">
        <x:v>散热能力需按功耗校核</x:v>
      </x:c>
    </x:row>
    <x:row r="262" ht="15" hidden="0" customHeight="1">
      <x:c r="A262" s="19" t="str">
        <x:v>400-QDD-AOC-8E8O-VCSEL</x:v>
      </x:c>
      <x:c r="B262" s="19" t="str">
        <x:v>C003</x:v>
      </x:c>
      <x:c r="C262" s="19" t="n">
        <x:v>1</x:v>
      </x:c>
      <x:c r="D262" s="19" t="str">
        <x:v>必需</x:v>
      </x:c>
      <x:c r="E262" s="19" t="str">
        <x:v>形态级</x:v>
      </x:c>
      <x:c r="F262" s="19" t="str">
        <x:v>CPO无传统前面板模块拉环</x:v>
      </x:c>
    </x:row>
    <x:row r="263" ht="15" hidden="0" customHeight="1">
      <x:c r="A263" s="19" t="str">
        <x:v>400-QDD-AOC-8E8O-VCSEL</x:v>
      </x:c>
      <x:c r="B263" s="19" t="str">
        <x:v>C004</x:v>
      </x:c>
      <x:c r="C263" s="19" t="n">
        <x:v>1</x:v>
      </x:c>
      <x:c r="D263" s="19" t="str">
        <x:v>必需</x:v>
      </x:c>
      <x:c r="E263" s="19" t="str">
        <x:v>代表性</x:v>
      </x:c>
      <x:c r="F263" s="19" t="str">
        <x:v>EMI屏蔽结构依外壳设计</x:v>
      </x:c>
    </x:row>
    <x:row r="264" ht="15" hidden="0" customHeight="1">
      <x:c r="A264" s="19" t="str">
        <x:v>400-QDD-AOC-8E8O-VCSEL</x:v>
      </x:c>
      <x:c r="B264" s="19" t="str">
        <x:v>C005</x:v>
      </x:c>
      <x:c r="C264" s="19" t="n">
        <x:v>1</x:v>
      </x:c>
      <x:c r="D264" s="19" t="str">
        <x:v>必需</x:v>
      </x:c>
      <x:c r="E264" s="19" t="str">
        <x:v>代表性</x:v>
      </x:c>
      <x:c r="F264" s="19" t="str">
        <x:v>CPO可采用封装基板+系统PCB</x:v>
      </x:c>
    </x:row>
    <x:row r="265" ht="15" hidden="0" customHeight="1">
      <x:c r="A265" s="19" t="str">
        <x:v>400-QDD-AOC-8E8O-VCSEL</x:v>
      </x:c>
      <x:c r="B265" s="19" t="str">
        <x:v>C056</x:v>
      </x:c>
      <x:c r="C265" s="19" t="n">
        <x:v>1</x:v>
      </x:c>
      <x:c r="D265" s="19" t="str">
        <x:v>必需</x:v>
      </x:c>
      <x:c r="E265" s="19" t="str">
        <x:v>形态级</x:v>
      </x:c>
      <x:c r="F265" s="19" t="str">
        <x:v>可插拔模块主机侧金手指/电连接器</x:v>
      </x:c>
    </x:row>
    <x:row r="266" ht="15" hidden="0" customHeight="1">
      <x:c r="A266" s="19" t="str">
        <x:v>400-QDD-AOC-8E8O-VCSEL</x:v>
      </x:c>
      <x:c r="B266" s="19" t="str">
        <x:v>C057</x:v>
      </x:c>
      <x:c r="C266" s="19" t="n">
        <x:v>1</x:v>
      </x:c>
      <x:c r="D266" s="19" t="str">
        <x:v>系统配套</x:v>
      </x:c>
      <x:c r="E266" s="19" t="str">
        <x:v>系统级</x:v>
      </x:c>
      <x:c r="F266" s="19" t="str">
        <x:v>cage不属于模块内采购BOM</x:v>
      </x:c>
    </x:row>
    <x:row r="267" ht="15" hidden="0" customHeight="1">
      <x:c r="A267" s="19" t="str">
        <x:v>400-QDD-AOC-8E8O-VCSEL</x:v>
      </x:c>
      <x:c r="B267" s="19" t="str">
        <x:v>C007</x:v>
      </x:c>
      <x:c r="C267" s="19" t="n">
        <x:v>1</x:v>
      </x:c>
      <x:c r="D267" s="19" t="str">
        <x:v>必需</x:v>
      </x:c>
      <x:c r="E267" s="19" t="str">
        <x:v>代表性</x:v>
      </x:c>
      <x:c r="F267" s="19" t="str">
        <x:v>光引擎承载基板/Interposer</x:v>
      </x:c>
    </x:row>
    <x:row r="268" ht="15" hidden="0" customHeight="1">
      <x:c r="A268" s="19" t="str">
        <x:v>400-QDD-AOC-8E8O-VCSEL</x:v>
      </x:c>
      <x:c r="B268" s="19" t="str">
        <x:v>C008</x:v>
      </x:c>
      <x:c r="C268" s="19" t="n">
        <x:v>1</x:v>
      </x:c>
      <x:c r="D268" s="19" t="str">
        <x:v>必需</x:v>
      </x:c>
      <x:c r="E268" s="19" t="str">
        <x:v>代表性</x:v>
      </x:c>
      <x:c r="F268" s="19" t="str">
        <x:v>数量按功耗域，不等于精确颗数</x:v>
      </x:c>
    </x:row>
    <x:row r="269" ht="15" hidden="0" customHeight="1">
      <x:c r="A269" s="19" t="str">
        <x:v>400-QDD-AOC-8E8O-VCSEL</x:v>
      </x:c>
      <x:c r="B269" s="19" t="str">
        <x:v>C009</x:v>
      </x:c>
      <x:c r="C269" s="19" t="n">
        <x:v>1</x:v>
      </x:c>
      <x:c r="D269" s="19" t="str">
        <x:v>必需</x:v>
      </x:c>
      <x:c r="E269" s="19" t="str">
        <x:v>管理接口</x:v>
      </x:c>
      <x:c r="F269" s="19" t="str">
        <x:v>可插拔模块使用CMIS管理</x:v>
      </x:c>
    </x:row>
    <x:row r="270" ht="15" hidden="0" customHeight="1">
      <x:c r="A270" s="19" t="str">
        <x:v>400-QDD-AOC-8E8O-VCSEL</x:v>
      </x:c>
      <x:c r="B270" s="19" t="str">
        <x:v>C010</x:v>
      </x:c>
      <x:c r="C270" s="19" t="n">
        <x:v>1</x:v>
      </x:c>
      <x:c r="D270" s="19" t="str">
        <x:v>按实现</x:v>
      </x:c>
      <x:c r="E270" s="19" t="str">
        <x:v>代表性</x:v>
      </x:c>
      <x:c r="F270" s="19" t="str">
        <x:v>模块控制与校准</x:v>
      </x:c>
    </x:row>
    <x:row r="271" ht="15" hidden="0" customHeight="1">
      <x:c r="A271" s="19" t="str">
        <x:v>400-QDD-AOC-8E8O-VCSEL</x:v>
      </x:c>
      <x:c r="B271" s="19" t="str">
        <x:v>C058</x:v>
      </x:c>
      <x:c r="C271" s="19" t="n">
        <x:v>1</x:v>
      </x:c>
      <x:c r="D271" s="19" t="str">
        <x:v>按实现</x:v>
      </x:c>
      <x:c r="E271" s="19" t="str">
        <x:v>时钟架构</x:v>
      </x:c>
      <x:c r="F271" s="19" t="str">
        <x:v>可由主机提供REFCLK或使用模块内时钟器件</x:v>
      </x:c>
    </x:row>
    <x:row r="272" ht="15" hidden="0" customHeight="1">
      <x:c r="A272" s="19" t="str">
        <x:v>400-QDD-AOC-8E8O-VCSEL</x:v>
      </x:c>
      <x:c r="B272" s="19" t="str">
        <x:v>C059</x:v>
      </x:c>
      <x:c r="C272" s="19" t="n">
        <x:v>1</x:v>
      </x:c>
      <x:c r="D272" s="19" t="str">
        <x:v>必需/可集成</x:v>
      </x:c>
      <x:c r="E272" s="19" t="str">
        <x:v>监控功能</x:v>
      </x:c>
      <x:c r="F272" s="19" t="str">
        <x:v>CMIS/控制系统温度监测</x:v>
      </x:c>
    </x:row>
    <x:row r="273" ht="15" hidden="0" customHeight="1">
      <x:c r="A273" s="19" t="str">
        <x:v>400-QDD-AOC-8E8O-VCSEL</x:v>
      </x:c>
      <x:c r="B273" s="19" t="str">
        <x:v>C060</x:v>
      </x:c>
      <x:c r="C273" s="19" t="n">
        <x:v>1</x:v>
      </x:c>
      <x:c r="D273" s="19" t="str">
        <x:v>必需</x:v>
      </x:c>
      <x:c r="E273" s="19" t="str">
        <x:v>器件组</x:v>
      </x:c>
      <x:c r="F273" s="19" t="str">
        <x:v>R/C/L数量不按lane数表示</x:v>
      </x:c>
    </x:row>
    <x:row r="274" ht="15" hidden="0" customHeight="1">
      <x:c r="A274" s="19" t="str">
        <x:v>400-QDD-AOC-8E8O-VCSEL</x:v>
      </x:c>
      <x:c r="B274" s="19" t="str">
        <x:v>C062</x:v>
      </x:c>
      <x:c r="C274" s="19" t="n">
        <x:v>1</x:v>
      </x:c>
      <x:c r="D274" s="19" t="str">
        <x:v>按封装</x:v>
      </x:c>
      <x:c r="E274" s="19" t="str">
        <x:v>互连工艺</x:v>
      </x:c>
      <x:c r="F274" s="19" t="str">
        <x:v>flip-chip平台使用</x:v>
      </x:c>
    </x:row>
    <x:row r="275" ht="15" hidden="0" customHeight="1">
      <x:c r="A275" s="19" t="str">
        <x:v>400-QDD-AOC-8E8O-VCSEL</x:v>
      </x:c>
      <x:c r="B275" s="19" t="str">
        <x:v>C063</x:v>
      </x:c>
      <x:c r="C275" s="19" t="n">
        <x:v>1</x:v>
      </x:c>
      <x:c r="D275" s="19" t="str">
        <x:v>按封装</x:v>
      </x:c>
      <x:c r="E275" s="19" t="str">
        <x:v>互连工艺</x:v>
      </x:c>
      <x:c r="F275" s="19" t="str">
        <x:v>wire/ribbon bond平台使用</x:v>
      </x:c>
    </x:row>
    <x:row r="276" ht="15" hidden="0" customHeight="1">
      <x:c r="A276" s="19" t="str">
        <x:v>400-QDD-AOC-8E8O-VCSEL</x:v>
      </x:c>
      <x:c r="B276" s="19" t="str">
        <x:v>C011</x:v>
      </x:c>
      <x:c r="C276" s="19" t="n">
        <x:v>1</x:v>
      </x:c>
      <x:c r="D276" s="19" t="str">
        <x:v>必需</x:v>
      </x:c>
      <x:c r="E276" s="19" t="str">
        <x:v>架构级</x:v>
      </x:c>
      <x:c r="F276" s="19" t="str">
        <x:v>含DSP/Gearbox</x:v>
      </x:c>
    </x:row>
    <x:row r="277" ht="15" hidden="0" customHeight="1">
      <x:c r="A277" s="19" t="str">
        <x:v>400-QDD-AOC-8E8O-VCSEL</x:v>
      </x:c>
      <x:c r="B277" s="19" t="str">
        <x:v>C014</x:v>
      </x:c>
      <x:c r="C277" s="19" t="n">
        <x:v>8</x:v>
      </x:c>
      <x:c r="D277" s="19" t="str">
        <x:v>必需</x:v>
      </x:c>
      <x:c r="E277" s="19" t="str">
        <x:v>功能通道数</x:v>
      </x:c>
      <x:c r="F277" s="19" t="str">
        <x:v>可能为阵列/多通道die，非精确封装颗数</x:v>
      </x:c>
    </x:row>
    <x:row r="278" ht="15" hidden="0" customHeight="1">
      <x:c r="A278" s="19" t="str">
        <x:v>400-QDD-AOC-8E8O-VCSEL</x:v>
      </x:c>
      <x:c r="B278" s="19" t="str">
        <x:v>C015</x:v>
      </x:c>
      <x:c r="C278" s="19" t="n">
        <x:v>8</x:v>
      </x:c>
      <x:c r="D278" s="19" t="str">
        <x:v>必需</x:v>
      </x:c>
      <x:c r="E278" s="19" t="str">
        <x:v>功能通道数</x:v>
      </x:c>
      <x:c r="F278" s="19" t="str">
        <x:v>可能为阵列/多通道die，非精确封装颗数</x:v>
      </x:c>
    </x:row>
    <x:row r="279" ht="15" hidden="0" customHeight="1">
      <x:c r="A279" s="19" t="str">
        <x:v>400-QDD-AOC-8E8O-VCSEL</x:v>
      </x:c>
      <x:c r="B279" s="19" t="str">
        <x:v>C016</x:v>
      </x:c>
      <x:c r="C279" s="19" t="n">
        <x:v>8</x:v>
      </x:c>
      <x:c r="D279" s="19" t="str">
        <x:v>必需</x:v>
      </x:c>
      <x:c r="E279" s="19" t="str">
        <x:v>光通道</x:v>
      </x:c>
      <x:c r="F279" s="19" t="str">
        <x:v>VCSEL阵列通道数</x:v>
      </x:c>
    </x:row>
    <x:row r="280" ht="15" hidden="0" customHeight="1">
      <x:c r="A280" s="19" t="str">
        <x:v>400-QDD-AOC-8E8O-VCSEL</x:v>
      </x:c>
      <x:c r="B280" s="19" t="str">
        <x:v>C017</x:v>
      </x:c>
      <x:c r="C280" s="19" t="n">
        <x:v>8</x:v>
      </x:c>
      <x:c r="D280" s="19" t="str">
        <x:v>内嵌</x:v>
      </x:c>
      <x:c r="E280" s="19" t="str">
        <x:v>微结构</x:v>
      </x:c>
      <x:c r="F280" s="19" t="str">
        <x:v>每个VCSEL单元的氧化孔径</x:v>
      </x:c>
    </x:row>
    <x:row r="281" ht="15" hidden="0" customHeight="1">
      <x:c r="A281" s="19" t="str">
        <x:v>400-QDD-AOC-8E8O-VCSEL</x:v>
      </x:c>
      <x:c r="B281" s="19" t="str">
        <x:v>C018</x:v>
      </x:c>
      <x:c r="C281" s="19" t="n">
        <x:v>8</x:v>
      </x:c>
      <x:c r="D281" s="19" t="str">
        <x:v>内嵌</x:v>
      </x:c>
      <x:c r="E281" s="19" t="str">
        <x:v>微结构</x:v>
      </x:c>
      <x:c r="F281" s="19" t="str">
        <x:v>上下DBR按外延周期形成，不是独立采购件</x:v>
      </x:c>
    </x:row>
    <x:row r="282" ht="15" hidden="0" customHeight="1">
      <x:c r="A282" s="19" t="str">
        <x:v>400-QDD-AOC-8E8O-VCSEL</x:v>
      </x:c>
      <x:c r="B282" s="19" t="str">
        <x:v>C019</x:v>
      </x:c>
      <x:c r="C282" s="19" t="n">
        <x:v>8</x:v>
      </x:c>
      <x:c r="D282" s="19" t="str">
        <x:v>内嵌</x:v>
      </x:c>
      <x:c r="E282" s="19" t="str">
        <x:v>微结构</x:v>
      </x:c>
      <x:c r="F282" s="19" t="str">
        <x:v>谐振腔</x:v>
      </x:c>
    </x:row>
    <x:row r="283" ht="15" hidden="0" customHeight="1">
      <x:c r="A283" s="19" t="str">
        <x:v>400-QDD-AOC-8E8O-VCSEL</x:v>
      </x:c>
      <x:c r="B283" s="19" t="str">
        <x:v>C068</x:v>
      </x:c>
      <x:c r="C283" s="19" t="n">
        <x:v>8</x:v>
      </x:c>
      <x:c r="D283" s="19" t="str">
        <x:v>内嵌</x:v>
      </x:c>
      <x:c r="E283" s="19" t="str">
        <x:v>微结构</x:v>
      </x:c>
      <x:c r="F283" s="19" t="str">
        <x:v>VCSEL量子阱有源区</x:v>
      </x:c>
    </x:row>
    <x:row r="284" ht="15" hidden="0" customHeight="1">
      <x:c r="A284" s="19" t="str">
        <x:v>400-QDD-AOC-8E8O-VCSEL</x:v>
      </x:c>
      <x:c r="B284" s="19" t="str">
        <x:v>C061</x:v>
      </x:c>
      <x:c r="C284" s="19" t="n">
        <x:v>1</x:v>
      </x:c>
      <x:c r="D284" s="19" t="str">
        <x:v>按封装</x:v>
      </x:c>
      <x:c r="E284" s="19" t="str">
        <x:v>封装</x:v>
      </x:c>
      <x:c r="F284" s="19" t="str">
        <x:v>VCSEL/PD阵列承载</x:v>
      </x:c>
    </x:row>
    <x:row r="285" ht="15" hidden="0" customHeight="1">
      <x:c r="A285" s="19" t="str">
        <x:v>400-QDD-AOC-8E8O-VCSEL</x:v>
      </x:c>
      <x:c r="B285" s="19" t="str">
        <x:v>C032</x:v>
      </x:c>
      <x:c r="C285" s="19" t="n">
        <x:v>8</x:v>
      </x:c>
      <x:c r="D285" s="19" t="str">
        <x:v>必需</x:v>
      </x:c>
      <x:c r="E285" s="19" t="str">
        <x:v>光通道</x:v>
      </x:c>
      <x:c r="F285" s="19" t="str">
        <x:v>GaAs PIN Array</x:v>
      </x:c>
    </x:row>
    <x:row r="286" ht="15" hidden="0" customHeight="1">
      <x:c r="A286" s="19" t="str">
        <x:v>400-QDD-AOC-8E8O-VCSEL</x:v>
      </x:c>
      <x:c r="B286" s="19" t="str">
        <x:v>C050</x:v>
      </x:c>
      <x:c r="C286" s="19" t="n">
        <x:v>8</x:v>
      </x:c>
      <x:c r="D286" s="19" t="str">
        <x:v>必需</x:v>
      </x:c>
      <x:c r="E286" s="19" t="str">
        <x:v>光纤通道</x:v>
      </x:c>
      <x:c r="F286" s="19" t="str">
        <x:v>MMF</x:v>
      </x:c>
    </x:row>
    <x:row r="287" ht="15" hidden="0" customHeight="1">
      <x:c r="A287" s="19"/>
      <x:c r="B287" s="19"/>
      <x:c r="C287" s="19"/>
      <x:c r="D287" s="19"/>
      <x:c r="E287" s="19"/>
      <x:c r="F287" s="19"/>
    </x:row>
    <x:row r="288" ht="15" hidden="0" customHeight="1">
      <x:c r="A288" s="19"/>
      <x:c r="B288" s="19"/>
      <x:c r="C288" s="19"/>
      <x:c r="D288" s="19"/>
      <x:c r="E288" s="19"/>
      <x:c r="F288" s="19"/>
    </x:row>
    <x:row r="289" ht="15" hidden="0" customHeight="1">
      <x:c r="A289" s="19"/>
      <x:c r="B289" s="19"/>
      <x:c r="C289" s="19"/>
      <x:c r="D289" s="19"/>
      <x:c r="E289" s="19"/>
      <x:c r="F289" s="19"/>
    </x:row>
    <x:row r="290" ht="15" hidden="0" customHeight="1">
      <x:c r="A290" s="19" t="str">
        <x:v>400-QDD-AOC-8E8O-VCSEL</x:v>
      </x:c>
      <x:c r="B290" s="19" t="str">
        <x:v>C037</x:v>
      </x:c>
      <x:c r="C290" s="19" t="n">
        <x:v>8</x:v>
      </x:c>
      <x:c r="D290" s="19" t="str">
        <x:v>按实现</x:v>
      </x:c>
      <x:c r="E290" s="19" t="str">
        <x:v>光通道</x:v>
      </x:c>
      <x:c r="F290" s="19" t="str">
        <x:v>自由空间/阵列耦合时使用</x:v>
      </x:c>
    </x:row>
    <x:row r="291" ht="15" hidden="0" customHeight="1">
      <x:c r="A291" s="19" t="str">
        <x:v>400-QDD-AOC-8E8O-VCSEL</x:v>
      </x:c>
      <x:c r="B291" s="19" t="str">
        <x:v>C038</x:v>
      </x:c>
      <x:c r="C291" s="19" t="n">
        <x:v>8</x:v>
      </x:c>
      <x:c r="D291" s="19" t="str">
        <x:v>按实现</x:v>
      </x:c>
      <x:c r="E291" s="19" t="str">
        <x:v>光通道</x:v>
      </x:c>
      <x:c r="F291" s="19" t="str">
        <x:v>FAU可能按阵列封装，不等于单根数量</x:v>
      </x:c>
    </x:row>
    <x:row r="292" ht="15" hidden="0" customHeight="1">
      <x:c r="A292" s="19" t="str">
        <x:v>400-QDD-AOC-8E8O-VCSEL</x:v>
      </x:c>
      <x:c r="B292" s="19" t="str">
        <x:v>C053</x:v>
      </x:c>
      <x:c r="C292" s="19" t="n">
        <x:v>1</x:v>
      </x:c>
      <x:c r="D292" s="19" t="str">
        <x:v>必需</x:v>
      </x:c>
      <x:c r="E292" s="19" t="str">
        <x:v>热管理</x:v>
      </x:c>
      <x:c r="F292" s="19" t="str">
        <x:v>TIM</x:v>
      </x:c>
    </x:row>
    <x:row r="293" ht="15" hidden="0" customHeight="1">
      <x:c r="A293" s="19" t="str">
        <x:v>400-QDD-AOC-8E8O-VCSEL</x:v>
      </x:c>
      <x:c r="B293" s="19" t="str">
        <x:v>C054</x:v>
      </x:c>
      <x:c r="C293" s="19" t="n">
        <x:v>1</x:v>
      </x:c>
      <x:c r="D293" s="19" t="str">
        <x:v>按实现</x:v>
      </x:c>
      <x:c r="E293" s="19" t="str">
        <x:v>封装</x:v>
      </x:c>
      <x:c r="F293" s="19" t="str">
        <x:v>光学胶/底填</x:v>
      </x:c>
    </x:row>
    <x:row r="294" ht="15" hidden="0" customHeight="1">
      <x:c r="A294" s="19" t="str">
        <x:v>400-QDD-DR4-8E4O-SIPH-INTEL</x:v>
      </x:c>
      <x:c r="B294" s="19" t="str">
        <x:v>C001</x:v>
      </x:c>
      <x:c r="C294" s="19" t="n">
        <x:v>1</x:v>
      </x:c>
      <x:c r="D294" s="19" t="str">
        <x:v>必需</x:v>
      </x:c>
      <x:c r="E294" s="19" t="str">
        <x:v>形态级</x:v>
      </x:c>
      <x:c r="F294" s="19" t="str">
        <x:v>QSFP-DD</x:v>
      </x:c>
    </x:row>
    <x:row r="295" ht="15" hidden="0" customHeight="1">
      <x:c r="A295" s="19" t="str">
        <x:v>400-QDD-DR4-8E4O-SIPH-INTEL</x:v>
      </x:c>
      <x:c r="B295" s="19" t="str">
        <x:v>C002</x:v>
      </x:c>
      <x:c r="C295" s="19" t="n">
        <x:v>1</x:v>
      </x:c>
      <x:c r="D295" s="19" t="str">
        <x:v>必需</x:v>
      </x:c>
      <x:c r="E295" s="19" t="str">
        <x:v>形态级</x:v>
      </x:c>
      <x:c r="F295" s="19" t="str">
        <x:v>散热能力需按功耗校核</x:v>
      </x:c>
    </x:row>
    <x:row r="296" ht="15" hidden="0" customHeight="1">
      <x:c r="A296" s="19" t="str">
        <x:v>400-QDD-DR4-8E4O-SIPH-INTEL</x:v>
      </x:c>
      <x:c r="B296" s="19" t="str">
        <x:v>C003</x:v>
      </x:c>
      <x:c r="C296" s="19" t="n">
        <x:v>1</x:v>
      </x:c>
      <x:c r="D296" s="19" t="str">
        <x:v>必需</x:v>
      </x:c>
      <x:c r="E296" s="19" t="str">
        <x:v>形态级</x:v>
      </x:c>
      <x:c r="F296" s="19" t="str">
        <x:v>CPO无传统前面板模块拉环</x:v>
      </x:c>
    </x:row>
    <x:row r="297" ht="15" hidden="0" customHeight="1">
      <x:c r="A297" s="19" t="str">
        <x:v>400-QDD-DR4-8E4O-SIPH-INTEL</x:v>
      </x:c>
      <x:c r="B297" s="19" t="str">
        <x:v>C004</x:v>
      </x:c>
      <x:c r="C297" s="19" t="n">
        <x:v>1</x:v>
      </x:c>
      <x:c r="D297" s="19" t="str">
        <x:v>必需</x:v>
      </x:c>
      <x:c r="E297" s="19" t="str">
        <x:v>代表性</x:v>
      </x:c>
      <x:c r="F297" s="19" t="str">
        <x:v>EMI屏蔽结构依外壳设计</x:v>
      </x:c>
    </x:row>
    <x:row r="298" ht="15" hidden="0" customHeight="1">
      <x:c r="A298" s="19" t="str">
        <x:v>400-QDD-DR4-8E4O-SIPH-INTEL</x:v>
      </x:c>
      <x:c r="B298" s="19" t="str">
        <x:v>C005</x:v>
      </x:c>
      <x:c r="C298" s="19" t="n">
        <x:v>1</x:v>
      </x:c>
      <x:c r="D298" s="19" t="str">
        <x:v>必需</x:v>
      </x:c>
      <x:c r="E298" s="19" t="str">
        <x:v>代表性</x:v>
      </x:c>
      <x:c r="F298" s="19" t="str">
        <x:v>CPO可采用封装基板+系统PCB</x:v>
      </x:c>
    </x:row>
    <x:row r="299" ht="15" hidden="0" customHeight="1">
      <x:c r="A299" s="19" t="str">
        <x:v>400-QDD-DR4-8E4O-SIPH-INTEL</x:v>
      </x:c>
      <x:c r="B299" s="19" t="str">
        <x:v>C056</x:v>
      </x:c>
      <x:c r="C299" s="19" t="n">
        <x:v>1</x:v>
      </x:c>
      <x:c r="D299" s="19" t="str">
        <x:v>必需</x:v>
      </x:c>
      <x:c r="E299" s="19" t="str">
        <x:v>形态级</x:v>
      </x:c>
      <x:c r="F299" s="19" t="str">
        <x:v>可插拔模块主机侧金手指/电连接器</x:v>
      </x:c>
    </x:row>
    <x:row r="300" ht="15" hidden="0" customHeight="1">
      <x:c r="A300" s="19" t="str">
        <x:v>400-QDD-DR4-8E4O-SIPH-INTEL</x:v>
      </x:c>
      <x:c r="B300" s="19" t="str">
        <x:v>C057</x:v>
      </x:c>
      <x:c r="C300" s="19" t="n">
        <x:v>1</x:v>
      </x:c>
      <x:c r="D300" s="19" t="str">
        <x:v>系统配套</x:v>
      </x:c>
      <x:c r="E300" s="19" t="str">
        <x:v>系统级</x:v>
      </x:c>
      <x:c r="F300" s="19" t="str">
        <x:v>cage不属于模块内采购BOM</x:v>
      </x:c>
    </x:row>
    <x:row r="301" ht="15" hidden="0" customHeight="1">
      <x:c r="A301" s="19" t="str">
        <x:v>400-QDD-DR4-8E4O-SIPH-INTEL</x:v>
      </x:c>
      <x:c r="B301" s="19" t="str">
        <x:v>C007</x:v>
      </x:c>
      <x:c r="C301" s="19" t="n">
        <x:v>1</x:v>
      </x:c>
      <x:c r="D301" s="19" t="str">
        <x:v>必需</x:v>
      </x:c>
      <x:c r="E301" s="19" t="str">
        <x:v>代表性</x:v>
      </x:c>
      <x:c r="F301" s="19" t="str">
        <x:v>光引擎承载基板/Interposer</x:v>
      </x:c>
    </x:row>
    <x:row r="302" ht="15" hidden="0" customHeight="1">
      <x:c r="A302" s="19" t="str">
        <x:v>400-QDD-DR4-8E4O-SIPH-INTEL</x:v>
      </x:c>
      <x:c r="B302" s="19" t="str">
        <x:v>C008</x:v>
      </x:c>
      <x:c r="C302" s="19" t="n">
        <x:v>1</x:v>
      </x:c>
      <x:c r="D302" s="19" t="str">
        <x:v>必需</x:v>
      </x:c>
      <x:c r="E302" s="19" t="str">
        <x:v>代表性</x:v>
      </x:c>
      <x:c r="F302" s="19" t="str">
        <x:v>数量按功耗域，不等于精确颗数</x:v>
      </x:c>
    </x:row>
    <x:row r="303" ht="15" hidden="0" customHeight="1">
      <x:c r="A303" s="19" t="str">
        <x:v>400-QDD-DR4-8E4O-SIPH-INTEL</x:v>
      </x:c>
      <x:c r="B303" s="19" t="str">
        <x:v>C009</x:v>
      </x:c>
      <x:c r="C303" s="19" t="n">
        <x:v>1</x:v>
      </x:c>
      <x:c r="D303" s="19" t="str">
        <x:v>必需</x:v>
      </x:c>
      <x:c r="E303" s="19" t="str">
        <x:v>管理接口</x:v>
      </x:c>
      <x:c r="F303" s="19" t="str">
        <x:v>可插拔模块使用CMIS管理</x:v>
      </x:c>
    </x:row>
    <x:row r="304" ht="15" hidden="0" customHeight="1">
      <x:c r="A304" s="19" t="str">
        <x:v>400-QDD-DR4-8E4O-SIPH-INTEL</x:v>
      </x:c>
      <x:c r="B304" s="19" t="str">
        <x:v>C010</x:v>
      </x:c>
      <x:c r="C304" s="19" t="n">
        <x:v>1</x:v>
      </x:c>
      <x:c r="D304" s="19" t="str">
        <x:v>按实现</x:v>
      </x:c>
      <x:c r="E304" s="19" t="str">
        <x:v>代表性</x:v>
      </x:c>
      <x:c r="F304" s="19" t="str">
        <x:v>模块控制与校准</x:v>
      </x:c>
    </x:row>
    <x:row r="305" ht="15" hidden="0" customHeight="1">
      <x:c r="A305" s="19" t="str">
        <x:v>400-QDD-DR4-8E4O-SIPH-INTEL</x:v>
      </x:c>
      <x:c r="B305" s="19" t="str">
        <x:v>C058</x:v>
      </x:c>
      <x:c r="C305" s="19" t="n">
        <x:v>1</x:v>
      </x:c>
      <x:c r="D305" s="19" t="str">
        <x:v>按实现</x:v>
      </x:c>
      <x:c r="E305" s="19" t="str">
        <x:v>时钟架构</x:v>
      </x:c>
      <x:c r="F305" s="19" t="str">
        <x:v>可由主机提供REFCLK或使用模块内时钟器件</x:v>
      </x:c>
    </x:row>
    <x:row r="306" ht="15" hidden="0" customHeight="1">
      <x:c r="A306" s="19" t="str">
        <x:v>400-QDD-DR4-8E4O-SIPH-INTEL</x:v>
      </x:c>
      <x:c r="B306" s="19" t="str">
        <x:v>C059</x:v>
      </x:c>
      <x:c r="C306" s="19" t="n">
        <x:v>1</x:v>
      </x:c>
      <x:c r="D306" s="19" t="str">
        <x:v>必需/可集成</x:v>
      </x:c>
      <x:c r="E306" s="19" t="str">
        <x:v>监控功能</x:v>
      </x:c>
      <x:c r="F306" s="19" t="str">
        <x:v>CMIS/控制系统温度监测</x:v>
      </x:c>
    </x:row>
    <x:row r="307" ht="15" hidden="0" customHeight="1">
      <x:c r="A307" s="19" t="str">
        <x:v>400-QDD-DR4-8E4O-SIPH-INTEL</x:v>
      </x:c>
      <x:c r="B307" s="19" t="str">
        <x:v>C060</x:v>
      </x:c>
      <x:c r="C307" s="19" t="n">
        <x:v>1</x:v>
      </x:c>
      <x:c r="D307" s="19" t="str">
        <x:v>必需</x:v>
      </x:c>
      <x:c r="E307" s="19" t="str">
        <x:v>器件组</x:v>
      </x:c>
      <x:c r="F307" s="19" t="str">
        <x:v>R/C/L数量不按lane数表示</x:v>
      </x:c>
    </x:row>
    <x:row r="308" ht="15" hidden="0" customHeight="1">
      <x:c r="A308" s="19" t="str">
        <x:v>400-QDD-DR4-8E4O-SIPH-INTEL</x:v>
      </x:c>
      <x:c r="B308" s="19" t="str">
        <x:v>C062</x:v>
      </x:c>
      <x:c r="C308" s="19" t="n">
        <x:v>1</x:v>
      </x:c>
      <x:c r="D308" s="19" t="str">
        <x:v>按封装</x:v>
      </x:c>
      <x:c r="E308" s="19" t="str">
        <x:v>互连工艺</x:v>
      </x:c>
      <x:c r="F308" s="19" t="str">
        <x:v>flip-chip平台使用</x:v>
      </x:c>
    </x:row>
    <x:row r="309" ht="15" hidden="0" customHeight="1">
      <x:c r="A309" s="19" t="str">
        <x:v>400-QDD-DR4-8E4O-SIPH-INTEL</x:v>
      </x:c>
      <x:c r="B309" s="19" t="str">
        <x:v>C063</x:v>
      </x:c>
      <x:c r="C309" s="19" t="n">
        <x:v>1</x:v>
      </x:c>
      <x:c r="D309" s="19" t="str">
        <x:v>按封装</x:v>
      </x:c>
      <x:c r="E309" s="19" t="str">
        <x:v>互连工艺</x:v>
      </x:c>
      <x:c r="F309" s="19" t="str">
        <x:v>wire/ribbon bond平台使用</x:v>
      </x:c>
    </x:row>
    <x:row r="310" ht="15" hidden="0" customHeight="1">
      <x:c r="A310" s="19" t="str">
        <x:v>400-QDD-DR4-8E4O-SIPH-INTEL</x:v>
      </x:c>
      <x:c r="B310" s="19" t="str">
        <x:v>C011</x:v>
      </x:c>
      <x:c r="C310" s="19" t="n">
        <x:v>1</x:v>
      </x:c>
      <x:c r="D310" s="19" t="str">
        <x:v>必需</x:v>
      </x:c>
      <x:c r="E310" s="19" t="str">
        <x:v>架构级</x:v>
      </x:c>
      <x:c r="F310" s="19" t="str">
        <x:v>含DSP/Gearbox</x:v>
      </x:c>
    </x:row>
    <x:row r="311" ht="15" hidden="0" customHeight="1">
      <x:c r="A311" s="19" t="str">
        <x:v>400-QDD-DR4-8E4O-SIPH-INTEL</x:v>
      </x:c>
      <x:c r="B311" s="19" t="str">
        <x:v>C012</x:v>
      </x:c>
      <x:c r="C311" s="19" t="n">
        <x:v>1</x:v>
      </x:c>
      <x:c r="D311" s="19" t="str">
        <x:v>必需</x:v>
      </x:c>
      <x:c r="E311" s="19" t="str">
        <x:v>通道级</x:v>
      </x:c>
      <x:c r="F311" s="19" t="str">
        <x:v>8×50G→4×100G</x:v>
      </x:c>
    </x:row>
    <x:row r="312" ht="15" hidden="0" customHeight="1">
      <x:c r="A312" s="19" t="str">
        <x:v>400-QDD-DR4-8E4O-SIPH-INTEL</x:v>
      </x:c>
      <x:c r="B312" s="19" t="str">
        <x:v>C014</x:v>
      </x:c>
      <x:c r="C312" s="19" t="n">
        <x:v>4</x:v>
      </x:c>
      <x:c r="D312" s="19" t="str">
        <x:v>必需</x:v>
      </x:c>
      <x:c r="E312" s="19" t="str">
        <x:v>功能通道数</x:v>
      </x:c>
      <x:c r="F312" s="19" t="str">
        <x:v>可能为阵列/多通道die，非精确封装颗数</x:v>
      </x:c>
    </x:row>
    <x:row r="313" ht="15" hidden="0" customHeight="1">
      <x:c r="A313" s="19" t="str">
        <x:v>400-QDD-DR4-8E4O-SIPH-INTEL</x:v>
      </x:c>
      <x:c r="B313" s="19" t="str">
        <x:v>C015</x:v>
      </x:c>
      <x:c r="C313" s="19" t="n">
        <x:v>4</x:v>
      </x:c>
      <x:c r="D313" s="19" t="str">
        <x:v>必需</x:v>
      </x:c>
      <x:c r="E313" s="19" t="str">
        <x:v>功能通道数</x:v>
      </x:c>
      <x:c r="F313" s="19" t="str">
        <x:v>可能为阵列/多通道die，非精确封装颗数</x:v>
      </x:c>
    </x:row>
    <x:row r="314" ht="15" hidden="0" customHeight="1">
      <x:c r="A314" s="19" t="str">
        <x:v>400-QDD-DR4-8E4O-SIPH-INTEL</x:v>
      </x:c>
      <x:c r="B314" s="19" t="str">
        <x:v>C025</x:v>
      </x:c>
      <x:c r="C314" s="19" t="n">
        <x:v>1</x:v>
      </x:c>
      <x:c r="D314" s="19" t="str">
        <x:v>必需</x:v>
      </x:c>
      <x:c r="E314" s="19" t="str">
        <x:v>PIC级</x:v>
      </x:c>
      <x:c r="F314" s="19" t="str">
        <x:v>具体是否MZM或MRR需供应商证据</x:v>
      </x:c>
    </x:row>
    <x:row r="315" ht="15" hidden="0" customHeight="1">
      <x:c r="A315" s="19" t="str">
        <x:v>400-QDD-DR4-8E4O-SIPH-INTEL</x:v>
      </x:c>
      <x:c r="B315" s="19" t="str">
        <x:v>C026</x:v>
      </x:c>
      <x:c r="C315" s="19" t="n">
        <x:v>4</x:v>
      </x:c>
      <x:c r="D315" s="19" t="str">
        <x:v>代表性</x:v>
      </x:c>
      <x:c r="E315" s="19" t="str">
        <x:v>微结构</x:v>
      </x:c>
      <x:c r="F315" s="19" t="str">
        <x:v>默认以MZM表示，若厂商披露MRR应改用C027</x:v>
      </x:c>
    </x:row>
    <x:row r="316" ht="15" hidden="0" customHeight="1">
      <x:c r="A316" s="19" t="str">
        <x:v>400-QDD-DR4-8E4O-SIPH-INTEL</x:v>
      </x:c>
      <x:c r="B316" s="19" t="str">
        <x:v>C028</x:v>
      </x:c>
      <x:c r="C316" s="19" t="n">
        <x:v>4</x:v>
      </x:c>
      <x:c r="D316" s="19" t="str">
        <x:v>内嵌</x:v>
      </x:c>
      <x:c r="E316" s="19" t="str">
        <x:v>微结构</x:v>
      </x:c>
      <x:c r="F316" s="19" t="str">
        <x:v>相移器</x:v>
      </x:c>
    </x:row>
    <x:row r="317" ht="15" hidden="0" customHeight="1">
      <x:c r="A317" s="19" t="str">
        <x:v>400-QDD-DR4-8E4O-SIPH-INTEL</x:v>
      </x:c>
      <x:c r="B317" s="19" t="str">
        <x:v>C029</x:v>
      </x:c>
      <x:c r="C317" s="19" t="n">
        <x:v>4</x:v>
      </x:c>
      <x:c r="D317" s="19" t="str">
        <x:v>内嵌</x:v>
      </x:c>
      <x:c r="E317" s="19" t="str">
        <x:v>微结构</x:v>
      </x:c>
      <x:c r="F317" s="19" t="str">
        <x:v>片上光路</x:v>
      </x:c>
    </x:row>
    <x:row r="318" ht="15" hidden="0" customHeight="1">
      <x:c r="A318" s="19" t="str">
        <x:v>400-QDD-DR4-8E4O-SIPH-INTEL</x:v>
      </x:c>
      <x:c r="B318" s="19" t="str">
        <x:v>C064</x:v>
      </x:c>
      <x:c r="C318" s="19" t="n">
        <x:v>1</x:v>
      </x:c>
      <x:c r="D318" s="19" t="str">
        <x:v>按实现</x:v>
      </x:c>
      <x:c r="E318" s="19" t="str">
        <x:v>微结构</x:v>
      </x:c>
      <x:c r="F318" s="19" t="str">
        <x:v>偏振管理</x:v>
      </x:c>
    </x:row>
    <x:row r="319" ht="15" hidden="0" customHeight="1">
      <x:c r="A319" s="19" t="str">
        <x:v>400-QDD-DR4-8E4O-SIPH-INTEL</x:v>
      </x:c>
      <x:c r="B319" s="19" t="str">
        <x:v>C065</x:v>
      </x:c>
      <x:c r="C319" s="19" t="n">
        <x:v>1</x:v>
      </x:c>
      <x:c r="D319" s="19" t="str">
        <x:v>按实现</x:v>
      </x:c>
      <x:c r="E319" s="19" t="str">
        <x:v>微结构</x:v>
      </x:c>
      <x:c r="F319" s="19" t="str">
        <x:v>抽光监控</x:v>
      </x:c>
    </x:row>
    <x:row r="320" ht="15" hidden="0" customHeight="1">
      <x:c r="A320" s="19" t="str">
        <x:v>400-QDD-DR4-8E4O-SIPH-INTEL</x:v>
      </x:c>
      <x:c r="B320" s="19" t="str">
        <x:v>C066</x:v>
      </x:c>
      <x:c r="C320" s="19" t="n">
        <x:v>1</x:v>
      </x:c>
      <x:c r="D320" s="19" t="str">
        <x:v>按实现</x:v>
      </x:c>
      <x:c r="E320" s="19" t="str">
        <x:v>微结构</x:v>
      </x:c>
      <x:c r="F320" s="19" t="str">
        <x:v>微环/AWG/滤波结构热调谐</x:v>
      </x:c>
    </x:row>
    <x:row r="321" ht="15" hidden="0" customHeight="1">
      <x:c r="A321" s="19" t="str">
        <x:v>400-QDD-DR4-8E4O-SIPH-INTEL</x:v>
      </x:c>
      <x:c r="B321" s="19" t="str">
        <x:v>C030</x:v>
      </x:c>
      <x:c r="C321" s="19" t="n">
        <x:v>4</x:v>
      </x:c>
      <x:c r="D321" s="19" t="str">
        <x:v>必需</x:v>
      </x:c>
      <x:c r="E321" s="19" t="str">
        <x:v>光通道</x:v>
      </x:c>
      <x:c r="F321" s="19" t="str">
        <x:v>SiPh integrated PD</x:v>
      </x:c>
    </x:row>
    <x:row r="322" ht="15" hidden="0" customHeight="1">
      <x:c r="A322" s="19" t="str">
        <x:v>400-QDD-DR4-8E4O-SIPH-INTEL</x:v>
      </x:c>
      <x:c r="B322" s="19" t="str">
        <x:v>C039</x:v>
      </x:c>
      <x:c r="C322" s="19" t="n">
        <x:v>4</x:v>
      </x:c>
      <x:c r="D322" s="19" t="str">
        <x:v>二选一</x:v>
      </x:c>
      <x:c r="E322" s="19" t="str">
        <x:v>耦合方式</x:v>
      </x:c>
      <x:c r="F322" s="19" t="str">
        <x:v>与边缘耦合器二选一或混用</x:v>
      </x:c>
    </x:row>
    <x:row r="323" ht="15" hidden="0" customHeight="1">
      <x:c r="A323" s="19" t="str">
        <x:v>400-QDD-DR4-8E4O-SIPH-INTEL</x:v>
      </x:c>
      <x:c r="B323" s="19" t="str">
        <x:v>C040</x:v>
      </x:c>
      <x:c r="C323" s="19" t="n">
        <x:v>4</x:v>
      </x:c>
      <x:c r="D323" s="19" t="str">
        <x:v>二选一</x:v>
      </x:c>
      <x:c r="E323" s="19" t="str">
        <x:v>耦合方式</x:v>
      </x:c>
      <x:c r="F323" s="19" t="str">
        <x:v>与光栅耦合器二选一或混用</x:v>
      </x:c>
    </x:row>
    <x:row r="324" ht="15" hidden="0" customHeight="1">
      <x:c r="A324" s="19" t="str">
        <x:v>400-QDD-DR4-8E4O-SIPH-INTEL</x:v>
      </x:c>
      <x:c r="B324" s="19" t="str">
        <x:v>C023</x:v>
      </x:c>
      <x:c r="C324" s="19" t="n">
        <x:v>1</x:v>
      </x:c>
      <x:c r="D324" s="19" t="str">
        <x:v>必需</x:v>
      </x:c>
      <x:c r="E324" s="19" t="str">
        <x:v>光源级</x:v>
      </x:c>
      <x:c r="F324" s="19" t="str">
        <x:v>可为多波长/多激光阵列</x:v>
      </x:c>
    </x:row>
    <x:row r="325" ht="15" hidden="0" customHeight="1">
      <x:c r="A325" s="19" t="str">
        <x:v>400-QDD-DR4-8E4O-SIPH-INTEL</x:v>
      </x:c>
      <x:c r="B325" s="19" t="str">
        <x:v>C022</x:v>
      </x:c>
      <x:c r="C325" s="19" t="n">
        <x:v>1</x:v>
      </x:c>
      <x:c r="D325" s="19" t="str">
        <x:v>内嵌</x:v>
      </x:c>
      <x:c r="E325" s="19" t="str">
        <x:v>微结构</x:v>
      </x:c>
      <x:c r="F325" s="19" t="str">
        <x:v>CW DFB内部光栅</x:v>
      </x:c>
    </x:row>
    <x:row r="326" ht="15" hidden="0" customHeight="1">
      <x:c r="A326" s="19" t="str">
        <x:v>400-QDD-DR4-8E4O-SIPH-INTEL</x:v>
      </x:c>
      <x:c r="B326" s="19" t="str">
        <x:v>C049</x:v>
      </x:c>
      <x:c r="C326" s="19" t="n">
        <x:v>4</x:v>
      </x:c>
      <x:c r="D326" s="19" t="str">
        <x:v>必需</x:v>
      </x:c>
      <x:c r="E326" s="19" t="str">
        <x:v>光纤通道</x:v>
      </x:c>
      <x:c r="F326" s="19" t="str">
        <x:v>PSM SMF</x:v>
      </x:c>
    </x:row>
    <x:row r="327" ht="15" hidden="0" customHeight="1">
      <x:c r="A327" s="19"/>
      <x:c r="B327" s="19"/>
      <x:c r="C327" s="19"/>
      <x:c r="D327" s="19"/>
      <x:c r="E327" s="19"/>
      <x:c r="F327" s="19"/>
    </x:row>
    <x:row r="328" ht="15" hidden="0" customHeight="1">
      <x:c r="A328" s="19"/>
      <x:c r="B328" s="19"/>
      <x:c r="C328" s="19"/>
      <x:c r="D328" s="19"/>
      <x:c r="E328" s="19"/>
      <x:c r="F328" s="19"/>
    </x:row>
    <x:row r="329" ht="15" hidden="0" customHeight="1">
      <x:c r="A329" s="19"/>
      <x:c r="B329" s="19"/>
      <x:c r="C329" s="19"/>
      <x:c r="D329" s="19"/>
      <x:c r="E329" s="19"/>
      <x:c r="F329" s="19"/>
    </x:row>
    <x:row r="330" ht="15" hidden="0" customHeight="1">
      <x:c r="A330" s="19" t="str">
        <x:v>400-QDD-DR4-8E4O-SIPH-INTEL</x:v>
      </x:c>
      <x:c r="B330" s="19" t="str">
        <x:v>C037</x:v>
      </x:c>
      <x:c r="C330" s="19" t="n">
        <x:v>4</x:v>
      </x:c>
      <x:c r="D330" s="19" t="str">
        <x:v>按实现</x:v>
      </x:c>
      <x:c r="E330" s="19" t="str">
        <x:v>光通道</x:v>
      </x:c>
      <x:c r="F330" s="19" t="str">
        <x:v>自由空间/阵列耦合时使用</x:v>
      </x:c>
    </x:row>
    <x:row r="331" ht="15" hidden="0" customHeight="1">
      <x:c r="A331" s="19" t="str">
        <x:v>400-QDD-DR4-8E4O-SIPH-INTEL</x:v>
      </x:c>
      <x:c r="B331" s="19" t="str">
        <x:v>C038</x:v>
      </x:c>
      <x:c r="C331" s="19" t="n">
        <x:v>4</x:v>
      </x:c>
      <x:c r="D331" s="19" t="str">
        <x:v>按实现</x:v>
      </x:c>
      <x:c r="E331" s="19" t="str">
        <x:v>光通道</x:v>
      </x:c>
      <x:c r="F331" s="19" t="str">
        <x:v>FAU可能按阵列封装，不等于单根数量</x:v>
      </x:c>
    </x:row>
    <x:row r="332" ht="15" hidden="0" customHeight="1">
      <x:c r="A332" s="19" t="str">
        <x:v>400-QDD-DR4-8E4O-SIPH-INTEL</x:v>
      </x:c>
      <x:c r="B332" s="19" t="str">
        <x:v>C044</x:v>
      </x:c>
      <x:c r="C332" s="19" t="n">
        <x:v>1</x:v>
      </x:c>
      <x:c r="D332" s="19" t="str">
        <x:v>必需</x:v>
      </x:c>
      <x:c r="E332" s="19" t="str">
        <x:v>连接器级</x:v>
      </x:c>
      <x:c r="F332" s="19" t="str">
        <x:v>MPO</x:v>
      </x:c>
    </x:row>
    <x:row r="333" ht="15" hidden="0" customHeight="1">
      <x:c r="A333" s="19" t="str">
        <x:v>400-QDD-DR4-8E4O-SIPH-INTEL</x:v>
      </x:c>
      <x:c r="B333" s="19" t="str">
        <x:v>C045</x:v>
      </x:c>
      <x:c r="C333" s="19" t="n">
        <x:v>1</x:v>
      </x:c>
      <x:c r="D333" s="19" t="str">
        <x:v>内嵌</x:v>
      </x:c>
      <x:c r="E333" s="19" t="str">
        <x:v>连接器级</x:v>
      </x:c>
      <x:c r="F333" s="19" t="str">
        <x:v>MT插芯</x:v>
      </x:c>
    </x:row>
    <x:row r="334" ht="15" hidden="0" customHeight="1">
      <x:c r="A334" s="19" t="str">
        <x:v>400-QDD-DR4-8E4O-SIPH-INTEL</x:v>
      </x:c>
      <x:c r="B334" s="19" t="str">
        <x:v>C046</x:v>
      </x:c>
      <x:c r="C334" s="19" t="n">
        <x:v>1</x:v>
      </x:c>
      <x:c r="D334" s="19" t="str">
        <x:v>内嵌</x:v>
      </x:c>
      <x:c r="E334" s="19" t="str">
        <x:v>连接器级</x:v>
      </x:c>
      <x:c r="F334" s="19" t="str">
        <x:v>导针与弹簧</x:v>
      </x:c>
    </x:row>
    <x:row r="335" ht="15" hidden="0" customHeight="1">
      <x:c r="A335" s="19" t="str">
        <x:v>400-QDD-DR4-8E4O-SIPH-INTEL</x:v>
      </x:c>
      <x:c r="B335" s="19" t="str">
        <x:v>C053</x:v>
      </x:c>
      <x:c r="C335" s="19" t="n">
        <x:v>1</x:v>
      </x:c>
      <x:c r="D335" s="19" t="str">
        <x:v>必需</x:v>
      </x:c>
      <x:c r="E335" s="19" t="str">
        <x:v>热管理</x:v>
      </x:c>
      <x:c r="F335" s="19" t="str">
        <x:v>TIM</x:v>
      </x:c>
    </x:row>
    <x:row r="336" ht="15" hidden="0" customHeight="1">
      <x:c r="A336" s="19" t="str">
        <x:v>400-QDD-DR4-8E4O-SIPH-INTEL</x:v>
      </x:c>
      <x:c r="B336" s="19" t="str">
        <x:v>C054</x:v>
      </x:c>
      <x:c r="C336" s="19" t="n">
        <x:v>1</x:v>
      </x:c>
      <x:c r="D336" s="19" t="str">
        <x:v>按实现</x:v>
      </x:c>
      <x:c r="E336" s="19" t="str">
        <x:v>封装</x:v>
      </x:c>
      <x:c r="F336" s="19" t="str">
        <x:v>光学胶/底填</x:v>
      </x:c>
    </x:row>
    <x:row r="337" ht="15" hidden="0" customHeight="1">
      <x:c r="A337" s="19" t="str">
        <x:v>800-QDD-2FR4-8E8O-EML</x:v>
      </x:c>
      <x:c r="B337" s="19" t="str">
        <x:v>C001</x:v>
      </x:c>
      <x:c r="C337" s="19" t="n">
        <x:v>1</x:v>
      </x:c>
      <x:c r="D337" s="19" t="str">
        <x:v>必需</x:v>
      </x:c>
      <x:c r="E337" s="19" t="str">
        <x:v>形态级</x:v>
      </x:c>
      <x:c r="F337" s="19" t="str">
        <x:v>QSFP-DD800</x:v>
      </x:c>
    </x:row>
    <x:row r="338" ht="15" hidden="0" customHeight="1">
      <x:c r="A338" s="19" t="str">
        <x:v>800-QDD-2FR4-8E8O-EML</x:v>
      </x:c>
      <x:c r="B338" s="19" t="str">
        <x:v>C002</x:v>
      </x:c>
      <x:c r="C338" s="19" t="n">
        <x:v>1</x:v>
      </x:c>
      <x:c r="D338" s="19" t="str">
        <x:v>必需</x:v>
      </x:c>
      <x:c r="E338" s="19" t="str">
        <x:v>形态级</x:v>
      </x:c>
      <x:c r="F338" s="19" t="str">
        <x:v>散热能力需按功耗校核</x:v>
      </x:c>
    </x:row>
    <x:row r="339" ht="15" hidden="0" customHeight="1">
      <x:c r="A339" s="19" t="str">
        <x:v>800-QDD-2FR4-8E8O-EML</x:v>
      </x:c>
      <x:c r="B339" s="19" t="str">
        <x:v>C003</x:v>
      </x:c>
      <x:c r="C339" s="19" t="n">
        <x:v>1</x:v>
      </x:c>
      <x:c r="D339" s="19" t="str">
        <x:v>必需</x:v>
      </x:c>
      <x:c r="E339" s="19" t="str">
        <x:v>形态级</x:v>
      </x:c>
      <x:c r="F339" s="19" t="str">
        <x:v>CPO无传统前面板模块拉环</x:v>
      </x:c>
    </x:row>
    <x:row r="340" ht="15" hidden="0" customHeight="1">
      <x:c r="A340" s="19" t="str">
        <x:v>800-QDD-2FR4-8E8O-EML</x:v>
      </x:c>
      <x:c r="B340" s="19" t="str">
        <x:v>C004</x:v>
      </x:c>
      <x:c r="C340" s="19" t="n">
        <x:v>1</x:v>
      </x:c>
      <x:c r="D340" s="19" t="str">
        <x:v>必需</x:v>
      </x:c>
      <x:c r="E340" s="19" t="str">
        <x:v>代表性</x:v>
      </x:c>
      <x:c r="F340" s="19" t="str">
        <x:v>EMI屏蔽结构依外壳设计</x:v>
      </x:c>
    </x:row>
    <x:row r="341" ht="15" hidden="0" customHeight="1">
      <x:c r="A341" s="19" t="str">
        <x:v>800-QDD-2FR4-8E8O-EML</x:v>
      </x:c>
      <x:c r="B341" s="19" t="str">
        <x:v>C005</x:v>
      </x:c>
      <x:c r="C341" s="19" t="n">
        <x:v>1</x:v>
      </x:c>
      <x:c r="D341" s="19" t="str">
        <x:v>必需</x:v>
      </x:c>
      <x:c r="E341" s="19" t="str">
        <x:v>代表性</x:v>
      </x:c>
      <x:c r="F341" s="19" t="str">
        <x:v>CPO可采用封装基板+系统PCB</x:v>
      </x:c>
    </x:row>
    <x:row r="342" ht="15" hidden="0" customHeight="1">
      <x:c r="A342" s="19" t="str">
        <x:v>800-QDD-2FR4-8E8O-EML</x:v>
      </x:c>
      <x:c r="B342" s="19" t="str">
        <x:v>C056</x:v>
      </x:c>
      <x:c r="C342" s="19" t="n">
        <x:v>1</x:v>
      </x:c>
      <x:c r="D342" s="19" t="str">
        <x:v>必需</x:v>
      </x:c>
      <x:c r="E342" s="19" t="str">
        <x:v>形态级</x:v>
      </x:c>
      <x:c r="F342" s="19" t="str">
        <x:v>可插拔模块主机侧金手指/电连接器</x:v>
      </x:c>
    </x:row>
    <x:row r="343" ht="15" hidden="0" customHeight="1">
      <x:c r="A343" s="19" t="str">
        <x:v>800-QDD-2FR4-8E8O-EML</x:v>
      </x:c>
      <x:c r="B343" s="19" t="str">
        <x:v>C057</x:v>
      </x:c>
      <x:c r="C343" s="19" t="n">
        <x:v>1</x:v>
      </x:c>
      <x:c r="D343" s="19" t="str">
        <x:v>系统配套</x:v>
      </x:c>
      <x:c r="E343" s="19" t="str">
        <x:v>系统级</x:v>
      </x:c>
      <x:c r="F343" s="19" t="str">
        <x:v>cage不属于模块内采购BOM</x:v>
      </x:c>
    </x:row>
    <x:row r="344" ht="15" hidden="0" customHeight="1">
      <x:c r="A344" s="19" t="str">
        <x:v>800-QDD-2FR4-8E8O-EML</x:v>
      </x:c>
      <x:c r="B344" s="19" t="str">
        <x:v>C007</x:v>
      </x:c>
      <x:c r="C344" s="19" t="n">
        <x:v>1</x:v>
      </x:c>
      <x:c r="D344" s="19" t="str">
        <x:v>必需</x:v>
      </x:c>
      <x:c r="E344" s="19" t="str">
        <x:v>代表性</x:v>
      </x:c>
      <x:c r="F344" s="19" t="str">
        <x:v>光引擎承载基板/Interposer</x:v>
      </x:c>
    </x:row>
    <x:row r="345" ht="15" hidden="0" customHeight="1">
      <x:c r="A345" s="19" t="str">
        <x:v>800-QDD-2FR4-8E8O-EML</x:v>
      </x:c>
      <x:c r="B345" s="19" t="str">
        <x:v>C008</x:v>
      </x:c>
      <x:c r="C345" s="19" t="n">
        <x:v>1</x:v>
      </x:c>
      <x:c r="D345" s="19" t="str">
        <x:v>必需</x:v>
      </x:c>
      <x:c r="E345" s="19" t="str">
        <x:v>代表性</x:v>
      </x:c>
      <x:c r="F345" s="19" t="str">
        <x:v>数量按功耗域，不等于精确颗数</x:v>
      </x:c>
    </x:row>
    <x:row r="346" ht="15" hidden="0" customHeight="1">
      <x:c r="A346" s="19" t="str">
        <x:v>800-QDD-2FR4-8E8O-EML</x:v>
      </x:c>
      <x:c r="B346" s="19" t="str">
        <x:v>C009</x:v>
      </x:c>
      <x:c r="C346" s="19" t="n">
        <x:v>1</x:v>
      </x:c>
      <x:c r="D346" s="19" t="str">
        <x:v>必需</x:v>
      </x:c>
      <x:c r="E346" s="19" t="str">
        <x:v>管理接口</x:v>
      </x:c>
      <x:c r="F346" s="19" t="str">
        <x:v>可插拔模块使用CMIS管理</x:v>
      </x:c>
    </x:row>
    <x:row r="347" ht="15" hidden="0" customHeight="1">
      <x:c r="A347" s="19" t="str">
        <x:v>800-QDD-2FR4-8E8O-EML</x:v>
      </x:c>
      <x:c r="B347" s="19" t="str">
        <x:v>C010</x:v>
      </x:c>
      <x:c r="C347" s="19" t="n">
        <x:v>1</x:v>
      </x:c>
      <x:c r="D347" s="19" t="str">
        <x:v>按实现</x:v>
      </x:c>
      <x:c r="E347" s="19" t="str">
        <x:v>代表性</x:v>
      </x:c>
      <x:c r="F347" s="19" t="str">
        <x:v>模块控制与校准</x:v>
      </x:c>
    </x:row>
    <x:row r="348" ht="15" hidden="0" customHeight="1">
      <x:c r="A348" s="19" t="str">
        <x:v>800-QDD-2FR4-8E8O-EML</x:v>
      </x:c>
      <x:c r="B348" s="19" t="str">
        <x:v>C058</x:v>
      </x:c>
      <x:c r="C348" s="19" t="n">
        <x:v>1</x:v>
      </x:c>
      <x:c r="D348" s="19" t="str">
        <x:v>按实现</x:v>
      </x:c>
      <x:c r="E348" s="19" t="str">
        <x:v>时钟架构</x:v>
      </x:c>
      <x:c r="F348" s="19" t="str">
        <x:v>可由主机提供REFCLK或使用模块内时钟器件</x:v>
      </x:c>
    </x:row>
    <x:row r="349" ht="15" hidden="0" customHeight="1">
      <x:c r="A349" s="19" t="str">
        <x:v>800-QDD-2FR4-8E8O-EML</x:v>
      </x:c>
      <x:c r="B349" s="19" t="str">
        <x:v>C059</x:v>
      </x:c>
      <x:c r="C349" s="19" t="n">
        <x:v>1</x:v>
      </x:c>
      <x:c r="D349" s="19" t="str">
        <x:v>必需/可集成</x:v>
      </x:c>
      <x:c r="E349" s="19" t="str">
        <x:v>监控功能</x:v>
      </x:c>
      <x:c r="F349" s="19" t="str">
        <x:v>CMIS/控制系统温度监测</x:v>
      </x:c>
    </x:row>
    <x:row r="350" ht="15" hidden="0" customHeight="1">
      <x:c r="A350" s="19" t="str">
        <x:v>800-QDD-2FR4-8E8O-EML</x:v>
      </x:c>
      <x:c r="B350" s="19" t="str">
        <x:v>C060</x:v>
      </x:c>
      <x:c r="C350" s="19" t="n">
        <x:v>1</x:v>
      </x:c>
      <x:c r="D350" s="19" t="str">
        <x:v>必需</x:v>
      </x:c>
      <x:c r="E350" s="19" t="str">
        <x:v>器件组</x:v>
      </x:c>
      <x:c r="F350" s="19" t="str">
        <x:v>R/C/L数量不按lane数表示</x:v>
      </x:c>
    </x:row>
    <x:row r="351" ht="15" hidden="0" customHeight="1">
      <x:c r="A351" s="19" t="str">
        <x:v>800-QDD-2FR4-8E8O-EML</x:v>
      </x:c>
      <x:c r="B351" s="19" t="str">
        <x:v>C062</x:v>
      </x:c>
      <x:c r="C351" s="19" t="n">
        <x:v>1</x:v>
      </x:c>
      <x:c r="D351" s="19" t="str">
        <x:v>按封装</x:v>
      </x:c>
      <x:c r="E351" s="19" t="str">
        <x:v>互连工艺</x:v>
      </x:c>
      <x:c r="F351" s="19" t="str">
        <x:v>flip-chip平台使用</x:v>
      </x:c>
    </x:row>
    <x:row r="352" ht="15" hidden="0" customHeight="1">
      <x:c r="A352" s="19" t="str">
        <x:v>800-QDD-2FR4-8E8O-EML</x:v>
      </x:c>
      <x:c r="B352" s="19" t="str">
        <x:v>C063</x:v>
      </x:c>
      <x:c r="C352" s="19" t="n">
        <x:v>1</x:v>
      </x:c>
      <x:c r="D352" s="19" t="str">
        <x:v>按封装</x:v>
      </x:c>
      <x:c r="E352" s="19" t="str">
        <x:v>互连工艺</x:v>
      </x:c>
      <x:c r="F352" s="19" t="str">
        <x:v>wire/ribbon bond平台使用</x:v>
      </x:c>
    </x:row>
    <x:row r="353" ht="15" hidden="0" customHeight="1">
      <x:c r="A353" s="19" t="str">
        <x:v>800-QDD-2FR4-8E8O-EML</x:v>
      </x:c>
      <x:c r="B353" s="19" t="str">
        <x:v>C011</x:v>
      </x:c>
      <x:c r="C353" s="19" t="n">
        <x:v>1</x:v>
      </x:c>
      <x:c r="D353" s="19" t="str">
        <x:v>必需</x:v>
      </x:c>
      <x:c r="E353" s="19" t="str">
        <x:v>架构级</x:v>
      </x:c>
      <x:c r="F353" s="19" t="str">
        <x:v>含DSP</x:v>
      </x:c>
    </x:row>
    <x:row r="354" ht="15" hidden="0" customHeight="1">
      <x:c r="A354" s="19" t="str">
        <x:v>800-QDD-2FR4-8E8O-EML</x:v>
      </x:c>
      <x:c r="B354" s="19" t="str">
        <x:v>C014</x:v>
      </x:c>
      <x:c r="C354" s="19" t="n">
        <x:v>8</x:v>
      </x:c>
      <x:c r="D354" s="19" t="str">
        <x:v>必需</x:v>
      </x:c>
      <x:c r="E354" s="19" t="str">
        <x:v>功能通道数</x:v>
      </x:c>
      <x:c r="F354" s="19" t="str">
        <x:v>可能为阵列/多通道die，非精确封装颗数</x:v>
      </x:c>
    </x:row>
    <x:row r="355" ht="15" hidden="0" customHeight="1">
      <x:c r="A355" s="19" t="str">
        <x:v>800-QDD-2FR4-8E8O-EML</x:v>
      </x:c>
      <x:c r="B355" s="19" t="str">
        <x:v>C015</x:v>
      </x:c>
      <x:c r="C355" s="19" t="n">
        <x:v>8</x:v>
      </x:c>
      <x:c r="D355" s="19" t="str">
        <x:v>必需</x:v>
      </x:c>
      <x:c r="E355" s="19" t="str">
        <x:v>功能通道数</x:v>
      </x:c>
      <x:c r="F355" s="19" t="str">
        <x:v>可能为阵列/多通道die，非精确封装颗数</x:v>
      </x:c>
    </x:row>
    <x:row r="356" ht="15" hidden="0" customHeight="1">
      <x:c r="A356" s="19" t="str">
        <x:v>800-QDD-2FR4-8E8O-EML</x:v>
      </x:c>
      <x:c r="B356" s="19" t="str">
        <x:v>C021</x:v>
      </x:c>
      <x:c r="C356" s="19" t="n">
        <x:v>8</x:v>
      </x:c>
      <x:c r="D356" s="19" t="str">
        <x:v>必需</x:v>
      </x:c>
      <x:c r="E356" s="19" t="str">
        <x:v>光通道</x:v>
      </x:c>
      <x:c r="F356" s="19" t="str">
        <x:v>可为阵列/多通道封装</x:v>
      </x:c>
    </x:row>
    <x:row r="357" ht="15" hidden="0" customHeight="1">
      <x:c r="A357" s="19" t="str">
        <x:v>800-QDD-2FR4-8E8O-EML</x:v>
      </x:c>
      <x:c r="B357" s="19" t="str">
        <x:v>C022</x:v>
      </x:c>
      <x:c r="C357" s="19" t="n">
        <x:v>8</x:v>
      </x:c>
      <x:c r="D357" s="19" t="str">
        <x:v>内嵌</x:v>
      </x:c>
      <x:c r="E357" s="19" t="str">
        <x:v>微结构</x:v>
      </x:c>
      <x:c r="F357" s="19" t="str">
        <x:v>DFB/DBR波长选择结构</x:v>
      </x:c>
    </x:row>
    <x:row r="358" ht="15" hidden="0" customHeight="1">
      <x:c r="A358" s="19" t="str">
        <x:v>800-QDD-2FR4-8E8O-EML</x:v>
      </x:c>
      <x:c r="B358" s="19" t="str">
        <x:v>C067</x:v>
      </x:c>
      <x:c r="C358" s="19" t="n">
        <x:v>8</x:v>
      </x:c>
      <x:c r="D358" s="19" t="str">
        <x:v>内嵌</x:v>
      </x:c>
      <x:c r="E358" s="19" t="str">
        <x:v>微结构</x:v>
      </x:c>
      <x:c r="F358" s="19" t="str">
        <x:v>EML内部EAM调制区</x:v>
      </x:c>
    </x:row>
    <x:row r="359" ht="15" hidden="0" customHeight="1">
      <x:c r="A359" s="19" t="str">
        <x:v>800-QDD-2FR4-8E8O-EML</x:v>
      </x:c>
      <x:c r="B359" s="19" t="str">
        <x:v>C068</x:v>
      </x:c>
      <x:c r="C359" s="19" t="n">
        <x:v>8</x:v>
      </x:c>
      <x:c r="D359" s="19" t="str">
        <x:v>内嵌</x:v>
      </x:c>
      <x:c r="E359" s="19" t="str">
        <x:v>微结构</x:v>
      </x:c>
      <x:c r="F359" s="19" t="str">
        <x:v>激光器/调制器量子阱有源区</x:v>
      </x:c>
    </x:row>
    <x:row r="360" ht="15" hidden="0" customHeight="1">
      <x:c r="A360" s="19" t="str">
        <x:v>800-QDD-2FR4-8E8O-EML</x:v>
      </x:c>
      <x:c r="B360" s="19" t="str">
        <x:v>C069</x:v>
      </x:c>
      <x:c r="C360" s="19" t="n">
        <x:v>8</x:v>
      </x:c>
      <x:c r="D360" s="19" t="str">
        <x:v>内嵌</x:v>
      </x:c>
      <x:c r="E360" s="19" t="str">
        <x:v>工艺</x:v>
      </x:c>
      <x:c r="F360" s="19" t="str">
        <x:v>端面AR/HR膜</x:v>
      </x:c>
    </x:row>
    <x:row r="361" ht="15" hidden="0" customHeight="1">
      <x:c r="A361" s="19" t="str">
        <x:v>800-QDD-2FR4-8E8O-EML</x:v>
      </x:c>
      <x:c r="B361" s="19" t="str">
        <x:v>C061</x:v>
      </x:c>
      <x:c r="C361" s="19" t="n">
        <x:v>1</x:v>
      </x:c>
      <x:c r="D361" s="19" t="str">
        <x:v>必需</x:v>
      </x:c>
      <x:c r="E361" s="19" t="str">
        <x:v>封装</x:v>
      </x:c>
      <x:c r="F361" s="19" t="str">
        <x:v>EML/PD阵列承载</x:v>
      </x:c>
    </x:row>
    <x:row r="362" ht="15" hidden="0" customHeight="1">
      <x:c r="A362" s="19" t="str">
        <x:v>800-QDD-2FR4-8E8O-EML</x:v>
      </x:c>
      <x:c r="B362" s="19" t="str">
        <x:v>C031</x:v>
      </x:c>
      <x:c r="C362" s="19" t="n">
        <x:v>8</x:v>
      </x:c>
      <x:c r="D362" s="19" t="str">
        <x:v>必需</x:v>
      </x:c>
      <x:c r="E362" s="19" t="str">
        <x:v>光通道</x:v>
      </x:c>
      <x:c r="F362" s="19" t="str">
        <x:v>InGaAs PIN</x:v>
      </x:c>
    </x:row>
    <x:row r="363" ht="15" hidden="0" customHeight="1">
      <x:c r="A363" s="19" t="str">
        <x:v>800-QDD-2FR4-8E8O-EML</x:v>
      </x:c>
      <x:c r="B363" s="19" t="str">
        <x:v>C049</x:v>
      </x:c>
      <x:c r="C363" s="19" t="n">
        <x:v>8</x:v>
      </x:c>
      <x:c r="D363" s="19" t="str">
        <x:v>必需</x:v>
      </x:c>
      <x:c r="E363" s="19" t="str">
        <x:v>光纤通道</x:v>
      </x:c>
      <x:c r="F363" s="19" t="str">
        <x:v>SMF</x:v>
      </x:c>
    </x:row>
    <x:row r="364" ht="15" hidden="0" customHeight="1">
      <x:c r="A364" s="19" t="str">
        <x:v>800-QDD-2FR4-8E8O-EML</x:v>
      </x:c>
      <x:c r="B364" s="19" t="str">
        <x:v>C034</x:v>
      </x:c>
      <x:c r="C364" s="19" t="n">
        <x:v>2</x:v>
      </x:c>
      <x:c r="D364" s="19" t="str">
        <x:v>必需</x:v>
      </x:c>
      <x:c r="E364" s="19" t="str">
        <x:v>端口/波分组</x:v>
      </x:c>
      <x:c r="F364" s="19" t="str">
        <x:v>2组4λ CWDM</x:v>
      </x:c>
    </x:row>
    <x:row r="365" ht="15" hidden="0" customHeight="1">
      <x:c r="A365" s="19" t="str">
        <x:v>800-QDD-2FR4-8E8O-EML</x:v>
      </x:c>
      <x:c r="B365" s="19" t="str">
        <x:v>C035</x:v>
      </x:c>
      <x:c r="C365" s="19" t="n">
        <x:v>2</x:v>
      </x:c>
      <x:c r="D365" s="19" t="str">
        <x:v>实现选项</x:v>
      </x:c>
      <x:c r="E365" s="19" t="str">
        <x:v>微结构</x:v>
      </x:c>
      <x:c r="F365" s="19" t="str">
        <x:v>AWG为MUX/DEMUX的一种实现</x:v>
      </x:c>
    </x:row>
    <x:row r="366" ht="15" hidden="0" customHeight="1">
      <x:c r="A366" s="19" t="str">
        <x:v>800-QDD-2FR4-8E8O-EML</x:v>
      </x:c>
      <x:c r="B366" s="19" t="str">
        <x:v>C036</x:v>
      </x:c>
      <x:c r="C366" s="19" t="n">
        <x:v>2</x:v>
      </x:c>
      <x:c r="D366" s="19" t="str">
        <x:v>实现选项</x:v>
      </x:c>
      <x:c r="E366" s="19" t="str">
        <x:v>微结构</x:v>
      </x:c>
      <x:c r="F366" s="19" t="str">
        <x:v>TFF为MUX/DEMUX的另一种实现</x:v>
      </x:c>
    </x:row>
    <x:row r="367" ht="15" hidden="0" customHeight="1">
      <x:c r="A367" s="19" t="str">
        <x:v>800-QDD-2FR4-8E8O-EML</x:v>
      </x:c>
      <x:c r="B367" s="19" t="str">
        <x:v>C037</x:v>
      </x:c>
      <x:c r="C367" s="19" t="n">
        <x:v>8</x:v>
      </x:c>
      <x:c r="D367" s="19" t="str">
        <x:v>按实现</x:v>
      </x:c>
      <x:c r="E367" s="19" t="str">
        <x:v>光通道</x:v>
      </x:c>
      <x:c r="F367" s="19" t="str">
        <x:v>自由空间/阵列耦合时使用</x:v>
      </x:c>
    </x:row>
    <x:row r="368" ht="15" hidden="0" customHeight="1">
      <x:c r="A368" s="19" t="str">
        <x:v>800-QDD-2FR4-8E8O-EML</x:v>
      </x:c>
      <x:c r="B368" s="19" t="str">
        <x:v>C038</x:v>
      </x:c>
      <x:c r="C368" s="19" t="n">
        <x:v>8</x:v>
      </x:c>
      <x:c r="D368" s="19" t="str">
        <x:v>按实现</x:v>
      </x:c>
      <x:c r="E368" s="19" t="str">
        <x:v>光通道</x:v>
      </x:c>
      <x:c r="F368" s="19" t="str">
        <x:v>FAU可能按阵列封装，不等于单根数量</x:v>
      </x:c>
    </x:row>
    <x:row r="369" ht="15" hidden="0" customHeight="1">
      <x:c r="A369" s="19" t="str">
        <x:v>800-QDD-2FR4-8E8O-EML</x:v>
      </x:c>
      <x:c r="B369" s="19" t="str">
        <x:v>C047</x:v>
      </x:c>
      <x:c r="C369" s="19" t="n">
        <x:v>2</x:v>
      </x:c>
      <x:c r="D369" s="19" t="str">
        <x:v>必需</x:v>
      </x:c>
      <x:c r="E369" s="19" t="str">
        <x:v>连接器级</x:v>
      </x:c>
      <x:c r="F369" s="19" t="str">
        <x:v>Dual LC</x:v>
      </x:c>
    </x:row>
    <x:row r="370" ht="15" hidden="0" customHeight="1">
      <x:c r="A370" s="19" t="str">
        <x:v>800-QDD-2FR4-8E8O-EML</x:v>
      </x:c>
      <x:c r="B370" s="19" t="str">
        <x:v>C053</x:v>
      </x:c>
      <x:c r="C370" s="19" t="n">
        <x:v>1</x:v>
      </x:c>
      <x:c r="D370" s="19" t="str">
        <x:v>必需</x:v>
      </x:c>
      <x:c r="E370" s="19" t="str">
        <x:v>热管理</x:v>
      </x:c>
      <x:c r="F370" s="19" t="str">
        <x:v>TIM</x:v>
      </x:c>
    </x:row>
    <x:row r="371" ht="15" hidden="0" customHeight="1">
      <x:c r="A371" s="19" t="str">
        <x:v>800-QDD-2FR4-8E8O-EML</x:v>
      </x:c>
      <x:c r="B371" s="19" t="str">
        <x:v>C054</x:v>
      </x:c>
      <x:c r="C371" s="19" t="n">
        <x:v>1</x:v>
      </x:c>
      <x:c r="D371" s="19" t="str">
        <x:v>按实现</x:v>
      </x:c>
      <x:c r="E371" s="19" t="str">
        <x:v>封装</x:v>
      </x:c>
      <x:c r="F371" s="19" t="str">
        <x:v>光学胶/底填</x:v>
      </x:c>
    </x:row>
    <x:row r="372" ht="15" hidden="0" customHeight="1">
      <x:c r="A372" s="19" t="str">
        <x:v>800-QDD-2DR4-8E8O-EML</x:v>
      </x:c>
      <x:c r="B372" s="19" t="str">
        <x:v>C001</x:v>
      </x:c>
      <x:c r="C372" s="19" t="n">
        <x:v>1</x:v>
      </x:c>
      <x:c r="D372" s="19" t="str">
        <x:v>必需</x:v>
      </x:c>
      <x:c r="E372" s="19" t="str">
        <x:v>形态级</x:v>
      </x:c>
      <x:c r="F372" s="19" t="str">
        <x:v>QSFP-DD800</x:v>
      </x:c>
    </x:row>
    <x:row r="373" ht="15" hidden="0" customHeight="1">
      <x:c r="A373" s="19" t="str">
        <x:v>800-QDD-2DR4-8E8O-EML</x:v>
      </x:c>
      <x:c r="B373" s="19" t="str">
        <x:v>C002</x:v>
      </x:c>
      <x:c r="C373" s="19" t="n">
        <x:v>1</x:v>
      </x:c>
      <x:c r="D373" s="19" t="str">
        <x:v>必需</x:v>
      </x:c>
      <x:c r="E373" s="19" t="str">
        <x:v>形态级</x:v>
      </x:c>
      <x:c r="F373" s="19" t="str">
        <x:v>散热能力需按功耗校核</x:v>
      </x:c>
    </x:row>
    <x:row r="374" ht="15" hidden="0" customHeight="1">
      <x:c r="A374" s="19" t="str">
        <x:v>800-QDD-2DR4-8E8O-EML</x:v>
      </x:c>
      <x:c r="B374" s="19" t="str">
        <x:v>C003</x:v>
      </x:c>
      <x:c r="C374" s="19" t="n">
        <x:v>1</x:v>
      </x:c>
      <x:c r="D374" s="19" t="str">
        <x:v>必需</x:v>
      </x:c>
      <x:c r="E374" s="19" t="str">
        <x:v>形态级</x:v>
      </x:c>
      <x:c r="F374" s="19" t="str">
        <x:v>CPO无传统前面板模块拉环</x:v>
      </x:c>
    </x:row>
    <x:row r="375" ht="15" hidden="0" customHeight="1">
      <x:c r="A375" s="19" t="str">
        <x:v>800-QDD-2DR4-8E8O-EML</x:v>
      </x:c>
      <x:c r="B375" s="19" t="str">
        <x:v>C004</x:v>
      </x:c>
      <x:c r="C375" s="19" t="n">
        <x:v>1</x:v>
      </x:c>
      <x:c r="D375" s="19" t="str">
        <x:v>必需</x:v>
      </x:c>
      <x:c r="E375" s="19" t="str">
        <x:v>代表性</x:v>
      </x:c>
      <x:c r="F375" s="19" t="str">
        <x:v>EMI屏蔽结构依外壳设计</x:v>
      </x:c>
    </x:row>
    <x:row r="376" ht="15" hidden="0" customHeight="1">
      <x:c r="A376" s="19" t="str">
        <x:v>800-QDD-2DR4-8E8O-EML</x:v>
      </x:c>
      <x:c r="B376" s="19" t="str">
        <x:v>C005</x:v>
      </x:c>
      <x:c r="C376" s="19" t="n">
        <x:v>1</x:v>
      </x:c>
      <x:c r="D376" s="19" t="str">
        <x:v>必需</x:v>
      </x:c>
      <x:c r="E376" s="19" t="str">
        <x:v>代表性</x:v>
      </x:c>
      <x:c r="F376" s="19" t="str">
        <x:v>CPO可采用封装基板+系统PCB</x:v>
      </x:c>
    </x:row>
    <x:row r="377" ht="15" hidden="0" customHeight="1">
      <x:c r="A377" s="19" t="str">
        <x:v>800-QDD-2DR4-8E8O-EML</x:v>
      </x:c>
      <x:c r="B377" s="19" t="str">
        <x:v>C056</x:v>
      </x:c>
      <x:c r="C377" s="19" t="n">
        <x:v>1</x:v>
      </x:c>
      <x:c r="D377" s="19" t="str">
        <x:v>必需</x:v>
      </x:c>
      <x:c r="E377" s="19" t="str">
        <x:v>形态级</x:v>
      </x:c>
      <x:c r="F377" s="19" t="str">
        <x:v>可插拔模块主机侧金手指/电连接器</x:v>
      </x:c>
    </x:row>
    <x:row r="378" ht="15" hidden="0" customHeight="1">
      <x:c r="A378" s="19" t="str">
        <x:v>800-QDD-2DR4-8E8O-EML</x:v>
      </x:c>
      <x:c r="B378" s="19" t="str">
        <x:v>C057</x:v>
      </x:c>
      <x:c r="C378" s="19" t="n">
        <x:v>1</x:v>
      </x:c>
      <x:c r="D378" s="19" t="str">
        <x:v>系统配套</x:v>
      </x:c>
      <x:c r="E378" s="19" t="str">
        <x:v>系统级</x:v>
      </x:c>
      <x:c r="F378" s="19" t="str">
        <x:v>cage不属于模块内采购BOM</x:v>
      </x:c>
    </x:row>
    <x:row r="379" ht="15" hidden="0" customHeight="1">
      <x:c r="A379" s="19" t="str">
        <x:v>800-QDD-2DR4-8E8O-EML</x:v>
      </x:c>
      <x:c r="B379" s="19" t="str">
        <x:v>C007</x:v>
      </x:c>
      <x:c r="C379" s="19" t="n">
        <x:v>1</x:v>
      </x:c>
      <x:c r="D379" s="19" t="str">
        <x:v>必需</x:v>
      </x:c>
      <x:c r="E379" s="19" t="str">
        <x:v>代表性</x:v>
      </x:c>
      <x:c r="F379" s="19" t="str">
        <x:v>光引擎承载基板/Interposer</x:v>
      </x:c>
    </x:row>
    <x:row r="380" ht="15" hidden="0" customHeight="1">
      <x:c r="A380" s="19" t="str">
        <x:v>800-QDD-2DR4-8E8O-EML</x:v>
      </x:c>
      <x:c r="B380" s="19" t="str">
        <x:v>C008</x:v>
      </x:c>
      <x:c r="C380" s="19" t="n">
        <x:v>1</x:v>
      </x:c>
      <x:c r="D380" s="19" t="str">
        <x:v>必需</x:v>
      </x:c>
      <x:c r="E380" s="19" t="str">
        <x:v>代表性</x:v>
      </x:c>
      <x:c r="F380" s="19" t="str">
        <x:v>数量按功耗域，不等于精确颗数</x:v>
      </x:c>
    </x:row>
    <x:row r="381" ht="15" hidden="0" customHeight="1">
      <x:c r="A381" s="19" t="str">
        <x:v>800-QDD-2DR4-8E8O-EML</x:v>
      </x:c>
      <x:c r="B381" s="19" t="str">
        <x:v>C009</x:v>
      </x:c>
      <x:c r="C381" s="19" t="n">
        <x:v>1</x:v>
      </x:c>
      <x:c r="D381" s="19" t="str">
        <x:v>必需</x:v>
      </x:c>
      <x:c r="E381" s="19" t="str">
        <x:v>管理接口</x:v>
      </x:c>
      <x:c r="F381" s="19" t="str">
        <x:v>可插拔模块使用CMIS管理</x:v>
      </x:c>
    </x:row>
    <x:row r="382" ht="15" hidden="0" customHeight="1">
      <x:c r="A382" s="19" t="str">
        <x:v>800-QDD-2DR4-8E8O-EML</x:v>
      </x:c>
      <x:c r="B382" s="19" t="str">
        <x:v>C010</x:v>
      </x:c>
      <x:c r="C382" s="19" t="n">
        <x:v>1</x:v>
      </x:c>
      <x:c r="D382" s="19" t="str">
        <x:v>按实现</x:v>
      </x:c>
      <x:c r="E382" s="19" t="str">
        <x:v>代表性</x:v>
      </x:c>
      <x:c r="F382" s="19" t="str">
        <x:v>模块控制与校准</x:v>
      </x:c>
    </x:row>
    <x:row r="383" ht="15" hidden="0" customHeight="1">
      <x:c r="A383" s="19" t="str">
        <x:v>800-QDD-2DR4-8E8O-EML</x:v>
      </x:c>
      <x:c r="B383" s="19" t="str">
        <x:v>C058</x:v>
      </x:c>
      <x:c r="C383" s="19" t="n">
        <x:v>1</x:v>
      </x:c>
      <x:c r="D383" s="19" t="str">
        <x:v>按实现</x:v>
      </x:c>
      <x:c r="E383" s="19" t="str">
        <x:v>时钟架构</x:v>
      </x:c>
      <x:c r="F383" s="19" t="str">
        <x:v>可由主机提供REFCLK或使用模块内时钟器件</x:v>
      </x:c>
    </x:row>
    <x:row r="384" ht="15" hidden="0" customHeight="1">
      <x:c r="A384" s="19" t="str">
        <x:v>800-QDD-2DR4-8E8O-EML</x:v>
      </x:c>
      <x:c r="B384" s="19" t="str">
        <x:v>C059</x:v>
      </x:c>
      <x:c r="C384" s="19" t="n">
        <x:v>1</x:v>
      </x:c>
      <x:c r="D384" s="19" t="str">
        <x:v>必需/可集成</x:v>
      </x:c>
      <x:c r="E384" s="19" t="str">
        <x:v>监控功能</x:v>
      </x:c>
      <x:c r="F384" s="19" t="str">
        <x:v>CMIS/控制系统温度监测</x:v>
      </x:c>
    </x:row>
    <x:row r="385" ht="15" hidden="0" customHeight="1">
      <x:c r="A385" s="19" t="str">
        <x:v>800-QDD-2DR4-8E8O-EML</x:v>
      </x:c>
      <x:c r="B385" s="19" t="str">
        <x:v>C060</x:v>
      </x:c>
      <x:c r="C385" s="19" t="n">
        <x:v>1</x:v>
      </x:c>
      <x:c r="D385" s="19" t="str">
        <x:v>必需</x:v>
      </x:c>
      <x:c r="E385" s="19" t="str">
        <x:v>器件组</x:v>
      </x:c>
      <x:c r="F385" s="19" t="str">
        <x:v>R/C/L数量不按lane数表示</x:v>
      </x:c>
    </x:row>
    <x:row r="386" ht="15" hidden="0" customHeight="1">
      <x:c r="A386" s="19" t="str">
        <x:v>800-QDD-2DR4-8E8O-EML</x:v>
      </x:c>
      <x:c r="B386" s="19" t="str">
        <x:v>C062</x:v>
      </x:c>
      <x:c r="C386" s="19" t="n">
        <x:v>1</x:v>
      </x:c>
      <x:c r="D386" s="19" t="str">
        <x:v>按封装</x:v>
      </x:c>
      <x:c r="E386" s="19" t="str">
        <x:v>互连工艺</x:v>
      </x:c>
      <x:c r="F386" s="19" t="str">
        <x:v>flip-chip平台使用</x:v>
      </x:c>
    </x:row>
    <x:row r="387" ht="15" hidden="0" customHeight="1">
      <x:c r="A387" s="19" t="str">
        <x:v>800-QDD-2DR4-8E8O-EML</x:v>
      </x:c>
      <x:c r="B387" s="19" t="str">
        <x:v>C063</x:v>
      </x:c>
      <x:c r="C387" s="19" t="n">
        <x:v>1</x:v>
      </x:c>
      <x:c r="D387" s="19" t="str">
        <x:v>按封装</x:v>
      </x:c>
      <x:c r="E387" s="19" t="str">
        <x:v>互连工艺</x:v>
      </x:c>
      <x:c r="F387" s="19" t="str">
        <x:v>wire/ribbon bond平台使用</x:v>
      </x:c>
    </x:row>
    <x:row r="388" ht="15" hidden="0" customHeight="1">
      <x:c r="A388" s="19" t="str">
        <x:v>800-QDD-2DR4-8E8O-EML</x:v>
      </x:c>
      <x:c r="B388" s="19" t="str">
        <x:v>C011</x:v>
      </x:c>
      <x:c r="C388" s="19" t="n">
        <x:v>1</x:v>
      </x:c>
      <x:c r="D388" s="19" t="str">
        <x:v>必需</x:v>
      </x:c>
      <x:c r="E388" s="19" t="str">
        <x:v>架构级</x:v>
      </x:c>
      <x:c r="F388" s="19" t="str">
        <x:v>含DSP</x:v>
      </x:c>
    </x:row>
    <x:row r="389" ht="15" hidden="0" customHeight="1">
      <x:c r="A389" s="19" t="str">
        <x:v>800-QDD-2DR4-8E8O-EML</x:v>
      </x:c>
      <x:c r="B389" s="19" t="str">
        <x:v>C014</x:v>
      </x:c>
      <x:c r="C389" s="19" t="n">
        <x:v>8</x:v>
      </x:c>
      <x:c r="D389" s="19" t="str">
        <x:v>必需</x:v>
      </x:c>
      <x:c r="E389" s="19" t="str">
        <x:v>功能通道数</x:v>
      </x:c>
      <x:c r="F389" s="19" t="str">
        <x:v>可能为阵列/多通道die，非精确封装颗数</x:v>
      </x:c>
    </x:row>
    <x:row r="390" ht="15" hidden="0" customHeight="1">
      <x:c r="A390" s="19" t="str">
        <x:v>800-QDD-2DR4-8E8O-EML</x:v>
      </x:c>
      <x:c r="B390" s="19" t="str">
        <x:v>C015</x:v>
      </x:c>
      <x:c r="C390" s="19" t="n">
        <x:v>8</x:v>
      </x:c>
      <x:c r="D390" s="19" t="str">
        <x:v>必需</x:v>
      </x:c>
      <x:c r="E390" s="19" t="str">
        <x:v>功能通道数</x:v>
      </x:c>
      <x:c r="F390" s="19" t="str">
        <x:v>可能为阵列/多通道die，非精确封装颗数</x:v>
      </x:c>
    </x:row>
    <x:row r="391" ht="15" hidden="0" customHeight="1">
      <x:c r="A391" s="19" t="str">
        <x:v>800-QDD-2DR4-8E8O-EML</x:v>
      </x:c>
      <x:c r="B391" s="19" t="str">
        <x:v>C021</x:v>
      </x:c>
      <x:c r="C391" s="19" t="n">
        <x:v>8</x:v>
      </x:c>
      <x:c r="D391" s="19" t="str">
        <x:v>必需</x:v>
      </x:c>
      <x:c r="E391" s="19" t="str">
        <x:v>光通道</x:v>
      </x:c>
      <x:c r="F391" s="19" t="str">
        <x:v>可为阵列/多通道封装</x:v>
      </x:c>
    </x:row>
    <x:row r="392" ht="15" hidden="0" customHeight="1">
      <x:c r="A392" s="19" t="str">
        <x:v>800-QDD-2DR4-8E8O-EML</x:v>
      </x:c>
      <x:c r="B392" s="19" t="str">
        <x:v>C022</x:v>
      </x:c>
      <x:c r="C392" s="19" t="n">
        <x:v>8</x:v>
      </x:c>
      <x:c r="D392" s="19" t="str">
        <x:v>内嵌</x:v>
      </x:c>
      <x:c r="E392" s="19" t="str">
        <x:v>微结构</x:v>
      </x:c>
      <x:c r="F392" s="19" t="str">
        <x:v>DFB/DBR波长选择结构</x:v>
      </x:c>
    </x:row>
    <x:row r="393" ht="15" hidden="0" customHeight="1">
      <x:c r="A393" s="19" t="str">
        <x:v>800-QDD-2DR4-8E8O-EML</x:v>
      </x:c>
      <x:c r="B393" s="19" t="str">
        <x:v>C067</x:v>
      </x:c>
      <x:c r="C393" s="19" t="n">
        <x:v>8</x:v>
      </x:c>
      <x:c r="D393" s="19" t="str">
        <x:v>内嵌</x:v>
      </x:c>
      <x:c r="E393" s="19" t="str">
        <x:v>微结构</x:v>
      </x:c>
      <x:c r="F393" s="19" t="str">
        <x:v>EML内部EAM调制区</x:v>
      </x:c>
    </x:row>
    <x:row r="394" ht="15" hidden="0" customHeight="1">
      <x:c r="A394" s="19" t="str">
        <x:v>800-QDD-2DR4-8E8O-EML</x:v>
      </x:c>
      <x:c r="B394" s="19" t="str">
        <x:v>C068</x:v>
      </x:c>
      <x:c r="C394" s="19" t="n">
        <x:v>8</x:v>
      </x:c>
      <x:c r="D394" s="19" t="str">
        <x:v>内嵌</x:v>
      </x:c>
      <x:c r="E394" s="19" t="str">
        <x:v>微结构</x:v>
      </x:c>
      <x:c r="F394" s="19" t="str">
        <x:v>激光器/调制器量子阱有源区</x:v>
      </x:c>
    </x:row>
    <x:row r="395" ht="15" hidden="0" customHeight="1">
      <x:c r="A395" s="19" t="str">
        <x:v>800-QDD-2DR4-8E8O-EML</x:v>
      </x:c>
      <x:c r="B395" s="19" t="str">
        <x:v>C069</x:v>
      </x:c>
      <x:c r="C395" s="19" t="n">
        <x:v>8</x:v>
      </x:c>
      <x:c r="D395" s="19" t="str">
        <x:v>内嵌</x:v>
      </x:c>
      <x:c r="E395" s="19" t="str">
        <x:v>工艺</x:v>
      </x:c>
      <x:c r="F395" s="19" t="str">
        <x:v>端面AR/HR膜</x:v>
      </x:c>
    </x:row>
    <x:row r="396" ht="15" hidden="0" customHeight="1">
      <x:c r="A396" s="19" t="str">
        <x:v>800-QDD-2DR4-8E8O-EML</x:v>
      </x:c>
      <x:c r="B396" s="19" t="str">
        <x:v>C061</x:v>
      </x:c>
      <x:c r="C396" s="19" t="n">
        <x:v>1</x:v>
      </x:c>
      <x:c r="D396" s="19" t="str">
        <x:v>必需</x:v>
      </x:c>
      <x:c r="E396" s="19" t="str">
        <x:v>封装</x:v>
      </x:c>
      <x:c r="F396" s="19" t="str">
        <x:v>EML/PD阵列承载</x:v>
      </x:c>
    </x:row>
    <x:row r="397" ht="15" hidden="0" customHeight="1">
      <x:c r="A397" s="19" t="str">
        <x:v>800-QDD-2DR4-8E8O-EML</x:v>
      </x:c>
      <x:c r="B397" s="19" t="str">
        <x:v>C031</x:v>
      </x:c>
      <x:c r="C397" s="19" t="n">
        <x:v>8</x:v>
      </x:c>
      <x:c r="D397" s="19" t="str">
        <x:v>必需</x:v>
      </x:c>
      <x:c r="E397" s="19" t="str">
        <x:v>光通道</x:v>
      </x:c>
      <x:c r="F397" s="19" t="str">
        <x:v>InGaAs PIN</x:v>
      </x:c>
    </x:row>
    <x:row r="398" ht="15" hidden="0" customHeight="1">
      <x:c r="A398" s="19" t="str">
        <x:v>800-QDD-2DR4-8E8O-EML</x:v>
      </x:c>
      <x:c r="B398" s="19" t="str">
        <x:v>C049</x:v>
      </x:c>
      <x:c r="C398" s="19" t="n">
        <x:v>8</x:v>
      </x:c>
      <x:c r="D398" s="19" t="str">
        <x:v>必需</x:v>
      </x:c>
      <x:c r="E398" s="19" t="str">
        <x:v>光纤通道</x:v>
      </x:c>
      <x:c r="F398" s="19" t="str">
        <x:v>PSM SMF</x:v>
      </x:c>
    </x:row>
    <x:row r="399" ht="15" hidden="0" customHeight="1">
      <x:c r="A399" s="19"/>
      <x:c r="B399" s="19"/>
      <x:c r="C399" s="19"/>
      <x:c r="D399" s="19"/>
      <x:c r="E399" s="19"/>
      <x:c r="F399" s="19"/>
    </x:row>
    <x:row r="400" ht="15" hidden="0" customHeight="1">
      <x:c r="A400" s="19"/>
      <x:c r="B400" s="19"/>
      <x:c r="C400" s="19"/>
      <x:c r="D400" s="19"/>
      <x:c r="E400" s="19"/>
      <x:c r="F400" s="19"/>
    </x:row>
    <x:row r="401" ht="15" hidden="0" customHeight="1">
      <x:c r="A401" s="19"/>
      <x:c r="B401" s="19"/>
      <x:c r="C401" s="19"/>
      <x:c r="D401" s="19"/>
      <x:c r="E401" s="19"/>
      <x:c r="F401" s="19"/>
    </x:row>
    <x:row r="402" ht="15" hidden="0" customHeight="1">
      <x:c r="A402" s="19" t="str">
        <x:v>800-QDD-2DR4-8E8O-EML</x:v>
      </x:c>
      <x:c r="B402" s="19" t="str">
        <x:v>C037</x:v>
      </x:c>
      <x:c r="C402" s="19" t="n">
        <x:v>8</x:v>
      </x:c>
      <x:c r="D402" s="19" t="str">
        <x:v>按实现</x:v>
      </x:c>
      <x:c r="E402" s="19" t="str">
        <x:v>光通道</x:v>
      </x:c>
      <x:c r="F402" s="19" t="str">
        <x:v>自由空间/阵列耦合时使用</x:v>
      </x:c>
    </x:row>
    <x:row r="403" ht="15" hidden="0" customHeight="1">
      <x:c r="A403" s="19" t="str">
        <x:v>800-QDD-2DR4-8E8O-EML</x:v>
      </x:c>
      <x:c r="B403" s="19" t="str">
        <x:v>C038</x:v>
      </x:c>
      <x:c r="C403" s="19" t="n">
        <x:v>8</x:v>
      </x:c>
      <x:c r="D403" s="19" t="str">
        <x:v>按实现</x:v>
      </x:c>
      <x:c r="E403" s="19" t="str">
        <x:v>光通道</x:v>
      </x:c>
      <x:c r="F403" s="19" t="str">
        <x:v>FAU可能按阵列封装，不等于单根数量</x:v>
      </x:c>
    </x:row>
    <x:row r="404" ht="15" hidden="0" customHeight="1">
      <x:c r="A404" s="19" t="str">
        <x:v>800-QDD-2DR4-8E8O-EML</x:v>
      </x:c>
      <x:c r="B404" s="19" t="str">
        <x:v>C044</x:v>
      </x:c>
      <x:c r="C404" s="19" t="n">
        <x:v>2</x:v>
      </x:c>
      <x:c r="D404" s="19" t="str">
        <x:v>必需</x:v>
      </x:c>
      <x:c r="E404" s="19" t="str">
        <x:v>连接器级</x:v>
      </x:c>
      <x:c r="F404" s="19" t="str">
        <x:v>Dual MPO12</x:v>
      </x:c>
    </x:row>
    <x:row r="405" ht="15" hidden="0" customHeight="1">
      <x:c r="A405" s="19" t="str">
        <x:v>800-QDD-2DR4-8E8O-EML</x:v>
      </x:c>
      <x:c r="B405" s="19" t="str">
        <x:v>C045</x:v>
      </x:c>
      <x:c r="C405" s="19" t="n">
        <x:v>2</x:v>
      </x:c>
      <x:c r="D405" s="19" t="str">
        <x:v>内嵌</x:v>
      </x:c>
      <x:c r="E405" s="19" t="str">
        <x:v>连接器级</x:v>
      </x:c>
      <x:c r="F405" s="19" t="str">
        <x:v>MT插芯</x:v>
      </x:c>
    </x:row>
    <x:row r="406" ht="15" hidden="0" customHeight="1">
      <x:c r="A406" s="19" t="str">
        <x:v>800-QDD-2DR4-8E8O-EML</x:v>
      </x:c>
      <x:c r="B406" s="19" t="str">
        <x:v>C046</x:v>
      </x:c>
      <x:c r="C406" s="19" t="n">
        <x:v>2</x:v>
      </x:c>
      <x:c r="D406" s="19" t="str">
        <x:v>内嵌</x:v>
      </x:c>
      <x:c r="E406" s="19" t="str">
        <x:v>连接器级</x:v>
      </x:c>
      <x:c r="F406" s="19" t="str">
        <x:v>导针与弹簧</x:v>
      </x:c>
    </x:row>
    <x:row r="407" ht="15" hidden="0" customHeight="1">
      <x:c r="A407" s="19" t="str">
        <x:v>800-QDD-2DR4-8E8O-EML</x:v>
      </x:c>
      <x:c r="B407" s="19" t="str">
        <x:v>C053</x:v>
      </x:c>
      <x:c r="C407" s="19" t="n">
        <x:v>1</x:v>
      </x:c>
      <x:c r="D407" s="19" t="str">
        <x:v>必需</x:v>
      </x:c>
      <x:c r="E407" s="19" t="str">
        <x:v>热管理</x:v>
      </x:c>
      <x:c r="F407" s="19" t="str">
        <x:v>TIM</x:v>
      </x:c>
    </x:row>
    <x:row r="408" ht="15" hidden="0" customHeight="1">
      <x:c r="A408" s="19" t="str">
        <x:v>800-QDD-2DR4-8E8O-EML</x:v>
      </x:c>
      <x:c r="B408" s="19" t="str">
        <x:v>C054</x:v>
      </x:c>
      <x:c r="C408" s="19" t="n">
        <x:v>1</x:v>
      </x:c>
      <x:c r="D408" s="19" t="str">
        <x:v>按实现</x:v>
      </x:c>
      <x:c r="E408" s="19" t="str">
        <x:v>封装</x:v>
      </x:c>
      <x:c r="F408" s="19" t="str">
        <x:v>光学胶/底填</x:v>
      </x:c>
    </x:row>
    <x:row r="409" ht="15" hidden="0" customHeight="1">
      <x:c r="A409" s="19" t="str">
        <x:v>800-QDD-DR8-8E8O-EML</x:v>
      </x:c>
      <x:c r="B409" s="19" t="str">
        <x:v>C001</x:v>
      </x:c>
      <x:c r="C409" s="19" t="n">
        <x:v>1</x:v>
      </x:c>
      <x:c r="D409" s="19" t="str">
        <x:v>必需</x:v>
      </x:c>
      <x:c r="E409" s="19" t="str">
        <x:v>形态级</x:v>
      </x:c>
      <x:c r="F409" s="19" t="str">
        <x:v>QSFP-DD800</x:v>
      </x:c>
    </x:row>
    <x:row r="410" ht="15" hidden="0" customHeight="1">
      <x:c r="A410" s="19" t="str">
        <x:v>800-QDD-DR8-8E8O-EML</x:v>
      </x:c>
      <x:c r="B410" s="19" t="str">
        <x:v>C002</x:v>
      </x:c>
      <x:c r="C410" s="19" t="n">
        <x:v>1</x:v>
      </x:c>
      <x:c r="D410" s="19" t="str">
        <x:v>必需</x:v>
      </x:c>
      <x:c r="E410" s="19" t="str">
        <x:v>形态级</x:v>
      </x:c>
      <x:c r="F410" s="19" t="str">
        <x:v>散热能力需按功耗校核</x:v>
      </x:c>
    </x:row>
    <x:row r="411" ht="15" hidden="0" customHeight="1">
      <x:c r="A411" s="19" t="str">
        <x:v>800-QDD-DR8-8E8O-EML</x:v>
      </x:c>
      <x:c r="B411" s="19" t="str">
        <x:v>C003</x:v>
      </x:c>
      <x:c r="C411" s="19" t="n">
        <x:v>1</x:v>
      </x:c>
      <x:c r="D411" s="19" t="str">
        <x:v>必需</x:v>
      </x:c>
      <x:c r="E411" s="19" t="str">
        <x:v>形态级</x:v>
      </x:c>
      <x:c r="F411" s="19" t="str">
        <x:v>CPO无传统前面板模块拉环</x:v>
      </x:c>
    </x:row>
    <x:row r="412" ht="15" hidden="0" customHeight="1">
      <x:c r="A412" s="19" t="str">
        <x:v>800-QDD-DR8-8E8O-EML</x:v>
      </x:c>
      <x:c r="B412" s="19" t="str">
        <x:v>C004</x:v>
      </x:c>
      <x:c r="C412" s="19" t="n">
        <x:v>1</x:v>
      </x:c>
      <x:c r="D412" s="19" t="str">
        <x:v>必需</x:v>
      </x:c>
      <x:c r="E412" s="19" t="str">
        <x:v>代表性</x:v>
      </x:c>
      <x:c r="F412" s="19" t="str">
        <x:v>EMI屏蔽结构依外壳设计</x:v>
      </x:c>
    </x:row>
    <x:row r="413" ht="15" hidden="0" customHeight="1">
      <x:c r="A413" s="19" t="str">
        <x:v>800-QDD-DR8-8E8O-EML</x:v>
      </x:c>
      <x:c r="B413" s="19" t="str">
        <x:v>C005</x:v>
      </x:c>
      <x:c r="C413" s="19" t="n">
        <x:v>1</x:v>
      </x:c>
      <x:c r="D413" s="19" t="str">
        <x:v>必需</x:v>
      </x:c>
      <x:c r="E413" s="19" t="str">
        <x:v>代表性</x:v>
      </x:c>
      <x:c r="F413" s="19" t="str">
        <x:v>CPO可采用封装基板+系统PCB</x:v>
      </x:c>
    </x:row>
    <x:row r="414" ht="15" hidden="0" customHeight="1">
      <x:c r="A414" s="19" t="str">
        <x:v>800-QDD-DR8-8E8O-EML</x:v>
      </x:c>
      <x:c r="B414" s="19" t="str">
        <x:v>C056</x:v>
      </x:c>
      <x:c r="C414" s="19" t="n">
        <x:v>1</x:v>
      </x:c>
      <x:c r="D414" s="19" t="str">
        <x:v>必需</x:v>
      </x:c>
      <x:c r="E414" s="19" t="str">
        <x:v>形态级</x:v>
      </x:c>
      <x:c r="F414" s="19" t="str">
        <x:v>可插拔模块主机侧金手指/电连接器</x:v>
      </x:c>
    </x:row>
    <x:row r="415" ht="15" hidden="0" customHeight="1">
      <x:c r="A415" s="19" t="str">
        <x:v>800-QDD-DR8-8E8O-EML</x:v>
      </x:c>
      <x:c r="B415" s="19" t="str">
        <x:v>C057</x:v>
      </x:c>
      <x:c r="C415" s="19" t="n">
        <x:v>1</x:v>
      </x:c>
      <x:c r="D415" s="19" t="str">
        <x:v>系统配套</x:v>
      </x:c>
      <x:c r="E415" s="19" t="str">
        <x:v>系统级</x:v>
      </x:c>
      <x:c r="F415" s="19" t="str">
        <x:v>cage不属于模块内采购BOM</x:v>
      </x:c>
    </x:row>
    <x:row r="416" ht="15" hidden="0" customHeight="1">
      <x:c r="A416" s="19" t="str">
        <x:v>800-QDD-DR8-8E8O-EML</x:v>
      </x:c>
      <x:c r="B416" s="19" t="str">
        <x:v>C007</x:v>
      </x:c>
      <x:c r="C416" s="19" t="n">
        <x:v>1</x:v>
      </x:c>
      <x:c r="D416" s="19" t="str">
        <x:v>必需</x:v>
      </x:c>
      <x:c r="E416" s="19" t="str">
        <x:v>代表性</x:v>
      </x:c>
      <x:c r="F416" s="19" t="str">
        <x:v>光引擎承载基板/Interposer</x:v>
      </x:c>
    </x:row>
    <x:row r="417" ht="15" hidden="0" customHeight="1">
      <x:c r="A417" s="19" t="str">
        <x:v>800-QDD-DR8-8E8O-EML</x:v>
      </x:c>
      <x:c r="B417" s="19" t="str">
        <x:v>C008</x:v>
      </x:c>
      <x:c r="C417" s="19" t="n">
        <x:v>1</x:v>
      </x:c>
      <x:c r="D417" s="19" t="str">
        <x:v>必需</x:v>
      </x:c>
      <x:c r="E417" s="19" t="str">
        <x:v>代表性</x:v>
      </x:c>
      <x:c r="F417" s="19" t="str">
        <x:v>数量按功耗域，不等于精确颗数</x:v>
      </x:c>
    </x:row>
    <x:row r="418" ht="15" hidden="0" customHeight="1">
      <x:c r="A418" s="19" t="str">
        <x:v>800-QDD-DR8-8E8O-EML</x:v>
      </x:c>
      <x:c r="B418" s="19" t="str">
        <x:v>C009</x:v>
      </x:c>
      <x:c r="C418" s="19" t="n">
        <x:v>1</x:v>
      </x:c>
      <x:c r="D418" s="19" t="str">
        <x:v>必需</x:v>
      </x:c>
      <x:c r="E418" s="19" t="str">
        <x:v>管理接口</x:v>
      </x:c>
      <x:c r="F418" s="19" t="str">
        <x:v>可插拔模块使用CMIS管理</x:v>
      </x:c>
    </x:row>
    <x:row r="419" ht="15" hidden="0" customHeight="1">
      <x:c r="A419" s="19" t="str">
        <x:v>800-QDD-DR8-8E8O-EML</x:v>
      </x:c>
      <x:c r="B419" s="19" t="str">
        <x:v>C010</x:v>
      </x:c>
      <x:c r="C419" s="19" t="n">
        <x:v>1</x:v>
      </x:c>
      <x:c r="D419" s="19" t="str">
        <x:v>按实现</x:v>
      </x:c>
      <x:c r="E419" s="19" t="str">
        <x:v>代表性</x:v>
      </x:c>
      <x:c r="F419" s="19" t="str">
        <x:v>模块控制与校准</x:v>
      </x:c>
    </x:row>
    <x:row r="420" ht="15" hidden="0" customHeight="1">
      <x:c r="A420" s="19" t="str">
        <x:v>800-QDD-DR8-8E8O-EML</x:v>
      </x:c>
      <x:c r="B420" s="19" t="str">
        <x:v>C058</x:v>
      </x:c>
      <x:c r="C420" s="19" t="n">
        <x:v>1</x:v>
      </x:c>
      <x:c r="D420" s="19" t="str">
        <x:v>按实现</x:v>
      </x:c>
      <x:c r="E420" s="19" t="str">
        <x:v>时钟架构</x:v>
      </x:c>
      <x:c r="F420" s="19" t="str">
        <x:v>可由主机提供REFCLK或使用模块内时钟器件</x:v>
      </x:c>
    </x:row>
    <x:row r="421" ht="15" hidden="0" customHeight="1">
      <x:c r="A421" s="19" t="str">
        <x:v>800-QDD-DR8-8E8O-EML</x:v>
      </x:c>
      <x:c r="B421" s="19" t="str">
        <x:v>C059</x:v>
      </x:c>
      <x:c r="C421" s="19" t="n">
        <x:v>1</x:v>
      </x:c>
      <x:c r="D421" s="19" t="str">
        <x:v>必需/可集成</x:v>
      </x:c>
      <x:c r="E421" s="19" t="str">
        <x:v>监控功能</x:v>
      </x:c>
      <x:c r="F421" s="19" t="str">
        <x:v>CMIS/控制系统温度监测</x:v>
      </x:c>
    </x:row>
    <x:row r="422" ht="15" hidden="0" customHeight="1">
      <x:c r="A422" s="19" t="str">
        <x:v>800-QDD-DR8-8E8O-EML</x:v>
      </x:c>
      <x:c r="B422" s="19" t="str">
        <x:v>C060</x:v>
      </x:c>
      <x:c r="C422" s="19" t="n">
        <x:v>1</x:v>
      </x:c>
      <x:c r="D422" s="19" t="str">
        <x:v>必需</x:v>
      </x:c>
      <x:c r="E422" s="19" t="str">
        <x:v>器件组</x:v>
      </x:c>
      <x:c r="F422" s="19" t="str">
        <x:v>R/C/L数量不按lane数表示</x:v>
      </x:c>
    </x:row>
    <x:row r="423" ht="15" hidden="0" customHeight="1">
      <x:c r="A423" s="19" t="str">
        <x:v>800-QDD-DR8-8E8O-EML</x:v>
      </x:c>
      <x:c r="B423" s="19" t="str">
        <x:v>C062</x:v>
      </x:c>
      <x:c r="C423" s="19" t="n">
        <x:v>1</x:v>
      </x:c>
      <x:c r="D423" s="19" t="str">
        <x:v>按封装</x:v>
      </x:c>
      <x:c r="E423" s="19" t="str">
        <x:v>互连工艺</x:v>
      </x:c>
      <x:c r="F423" s="19" t="str">
        <x:v>flip-chip平台使用</x:v>
      </x:c>
    </x:row>
    <x:row r="424" ht="15" hidden="0" customHeight="1">
      <x:c r="A424" s="19" t="str">
        <x:v>800-QDD-DR8-8E8O-EML</x:v>
      </x:c>
      <x:c r="B424" s="19" t="str">
        <x:v>C063</x:v>
      </x:c>
      <x:c r="C424" s="19" t="n">
        <x:v>1</x:v>
      </x:c>
      <x:c r="D424" s="19" t="str">
        <x:v>按封装</x:v>
      </x:c>
      <x:c r="E424" s="19" t="str">
        <x:v>互连工艺</x:v>
      </x:c>
      <x:c r="F424" s="19" t="str">
        <x:v>wire/ribbon bond平台使用</x:v>
      </x:c>
    </x:row>
    <x:row r="425" ht="15" hidden="0" customHeight="1">
      <x:c r="A425" s="19" t="str">
        <x:v>800-QDD-DR8-8E8O-EML</x:v>
      </x:c>
      <x:c r="B425" s="19" t="str">
        <x:v>C011</x:v>
      </x:c>
      <x:c r="C425" s="19" t="n">
        <x:v>1</x:v>
      </x:c>
      <x:c r="D425" s="19" t="str">
        <x:v>必需</x:v>
      </x:c>
      <x:c r="E425" s="19" t="str">
        <x:v>架构级</x:v>
      </x:c>
      <x:c r="F425" s="19" t="str">
        <x:v>含DSP</x:v>
      </x:c>
    </x:row>
    <x:row r="426" ht="15" hidden="0" customHeight="1">
      <x:c r="A426" s="19" t="str">
        <x:v>800-QDD-DR8-8E8O-EML</x:v>
      </x:c>
      <x:c r="B426" s="19" t="str">
        <x:v>C014</x:v>
      </x:c>
      <x:c r="C426" s="19" t="n">
        <x:v>8</x:v>
      </x:c>
      <x:c r="D426" s="19" t="str">
        <x:v>必需</x:v>
      </x:c>
      <x:c r="E426" s="19" t="str">
        <x:v>功能通道数</x:v>
      </x:c>
      <x:c r="F426" s="19" t="str">
        <x:v>可能为阵列/多通道die，非精确封装颗数</x:v>
      </x:c>
    </x:row>
    <x:row r="427" ht="15" hidden="0" customHeight="1">
      <x:c r="A427" s="19" t="str">
        <x:v>800-QDD-DR8-8E8O-EML</x:v>
      </x:c>
      <x:c r="B427" s="19" t="str">
        <x:v>C015</x:v>
      </x:c>
      <x:c r="C427" s="19" t="n">
        <x:v>8</x:v>
      </x:c>
      <x:c r="D427" s="19" t="str">
        <x:v>必需</x:v>
      </x:c>
      <x:c r="E427" s="19" t="str">
        <x:v>功能通道数</x:v>
      </x:c>
      <x:c r="F427" s="19" t="str">
        <x:v>可能为阵列/多通道die，非精确封装颗数</x:v>
      </x:c>
    </x:row>
    <x:row r="428" ht="15" hidden="0" customHeight="1">
      <x:c r="A428" s="19" t="str">
        <x:v>800-QDD-DR8-8E8O-EML</x:v>
      </x:c>
      <x:c r="B428" s="19" t="str">
        <x:v>C021</x:v>
      </x:c>
      <x:c r="C428" s="19" t="n">
        <x:v>8</x:v>
      </x:c>
      <x:c r="D428" s="19" t="str">
        <x:v>必需</x:v>
      </x:c>
      <x:c r="E428" s="19" t="str">
        <x:v>光通道</x:v>
      </x:c>
      <x:c r="F428" s="19" t="str">
        <x:v>可为阵列/多通道封装</x:v>
      </x:c>
    </x:row>
    <x:row r="429" ht="15" hidden="0" customHeight="1">
      <x:c r="A429" s="19" t="str">
        <x:v>800-QDD-DR8-8E8O-EML</x:v>
      </x:c>
      <x:c r="B429" s="19" t="str">
        <x:v>C022</x:v>
      </x:c>
      <x:c r="C429" s="19" t="n">
        <x:v>8</x:v>
      </x:c>
      <x:c r="D429" s="19" t="str">
        <x:v>内嵌</x:v>
      </x:c>
      <x:c r="E429" s="19" t="str">
        <x:v>微结构</x:v>
      </x:c>
      <x:c r="F429" s="19" t="str">
        <x:v>DFB/DBR波长选择结构</x:v>
      </x:c>
    </x:row>
    <x:row r="430" ht="15" hidden="0" customHeight="1">
      <x:c r="A430" s="19" t="str">
        <x:v>800-QDD-DR8-8E8O-EML</x:v>
      </x:c>
      <x:c r="B430" s="19" t="str">
        <x:v>C067</x:v>
      </x:c>
      <x:c r="C430" s="19" t="n">
        <x:v>8</x:v>
      </x:c>
      <x:c r="D430" s="19" t="str">
        <x:v>内嵌</x:v>
      </x:c>
      <x:c r="E430" s="19" t="str">
        <x:v>微结构</x:v>
      </x:c>
      <x:c r="F430" s="19" t="str">
        <x:v>EML内部EAM调制区</x:v>
      </x:c>
    </x:row>
    <x:row r="431" ht="15" hidden="0" customHeight="1">
      <x:c r="A431" s="19" t="str">
        <x:v>800-QDD-DR8-8E8O-EML</x:v>
      </x:c>
      <x:c r="B431" s="19" t="str">
        <x:v>C068</x:v>
      </x:c>
      <x:c r="C431" s="19" t="n">
        <x:v>8</x:v>
      </x:c>
      <x:c r="D431" s="19" t="str">
        <x:v>内嵌</x:v>
      </x:c>
      <x:c r="E431" s="19" t="str">
        <x:v>微结构</x:v>
      </x:c>
      <x:c r="F431" s="19" t="str">
        <x:v>激光器/调制器量子阱有源区</x:v>
      </x:c>
    </x:row>
    <x:row r="432" ht="15" hidden="0" customHeight="1">
      <x:c r="A432" s="19" t="str">
        <x:v>800-QDD-DR8-8E8O-EML</x:v>
      </x:c>
      <x:c r="B432" s="19" t="str">
        <x:v>C069</x:v>
      </x:c>
      <x:c r="C432" s="19" t="n">
        <x:v>8</x:v>
      </x:c>
      <x:c r="D432" s="19" t="str">
        <x:v>内嵌</x:v>
      </x:c>
      <x:c r="E432" s="19" t="str">
        <x:v>工艺</x:v>
      </x:c>
      <x:c r="F432" s="19" t="str">
        <x:v>端面AR/HR膜</x:v>
      </x:c>
    </x:row>
    <x:row r="433" ht="15" hidden="0" customHeight="1">
      <x:c r="A433" s="19" t="str">
        <x:v>800-QDD-DR8-8E8O-EML</x:v>
      </x:c>
      <x:c r="B433" s="19" t="str">
        <x:v>C061</x:v>
      </x:c>
      <x:c r="C433" s="19" t="n">
        <x:v>1</x:v>
      </x:c>
      <x:c r="D433" s="19" t="str">
        <x:v>必需</x:v>
      </x:c>
      <x:c r="E433" s="19" t="str">
        <x:v>封装</x:v>
      </x:c>
      <x:c r="F433" s="19" t="str">
        <x:v>EML/PD阵列承载</x:v>
      </x:c>
    </x:row>
    <x:row r="434" ht="15" hidden="0" customHeight="1">
      <x:c r="A434" s="19" t="str">
        <x:v>800-QDD-DR8-8E8O-EML</x:v>
      </x:c>
      <x:c r="B434" s="19" t="str">
        <x:v>C031</x:v>
      </x:c>
      <x:c r="C434" s="19" t="n">
        <x:v>8</x:v>
      </x:c>
      <x:c r="D434" s="19" t="str">
        <x:v>必需</x:v>
      </x:c>
      <x:c r="E434" s="19" t="str">
        <x:v>光通道</x:v>
      </x:c>
      <x:c r="F434" s="19" t="str">
        <x:v>InGaAs PIN</x:v>
      </x:c>
    </x:row>
    <x:row r="435" ht="15" hidden="0" customHeight="1">
      <x:c r="A435" s="19" t="str">
        <x:v>800-QDD-DR8-8E8O-EML</x:v>
      </x:c>
      <x:c r="B435" s="19" t="str">
        <x:v>C049</x:v>
      </x:c>
      <x:c r="C435" s="19" t="n">
        <x:v>8</x:v>
      </x:c>
      <x:c r="D435" s="19" t="str">
        <x:v>必需</x:v>
      </x:c>
      <x:c r="E435" s="19" t="str">
        <x:v>光纤通道</x:v>
      </x:c>
      <x:c r="F435" s="19" t="str">
        <x:v>PSM SMF</x:v>
      </x:c>
    </x:row>
    <x:row r="436" ht="15" hidden="0" customHeight="1">
      <x:c r="A436" s="19"/>
      <x:c r="B436" s="19"/>
      <x:c r="C436" s="19"/>
      <x:c r="D436" s="19"/>
      <x:c r="E436" s="19"/>
      <x:c r="F436" s="19"/>
    </x:row>
    <x:row r="437" ht="15" hidden="0" customHeight="1">
      <x:c r="A437" s="19"/>
      <x:c r="B437" s="19"/>
      <x:c r="C437" s="19"/>
      <x:c r="D437" s="19"/>
      <x:c r="E437" s="19"/>
      <x:c r="F437" s="19"/>
    </x:row>
    <x:row r="438" ht="15" hidden="0" customHeight="1">
      <x:c r="A438" s="19"/>
      <x:c r="B438" s="19"/>
      <x:c r="C438" s="19"/>
      <x:c r="D438" s="19"/>
      <x:c r="E438" s="19"/>
      <x:c r="F438" s="19"/>
    </x:row>
    <x:row r="439" ht="15" hidden="0" customHeight="1">
      <x:c r="A439" s="19" t="str">
        <x:v>800-QDD-DR8-8E8O-EML</x:v>
      </x:c>
      <x:c r="B439" s="19" t="str">
        <x:v>C037</x:v>
      </x:c>
      <x:c r="C439" s="19" t="n">
        <x:v>8</x:v>
      </x:c>
      <x:c r="D439" s="19" t="str">
        <x:v>按实现</x:v>
      </x:c>
      <x:c r="E439" s="19" t="str">
        <x:v>光通道</x:v>
      </x:c>
      <x:c r="F439" s="19" t="str">
        <x:v>自由空间/阵列耦合时使用</x:v>
      </x:c>
    </x:row>
    <x:row r="440" ht="15" hidden="0" customHeight="1">
      <x:c r="A440" s="19" t="str">
        <x:v>800-QDD-DR8-8E8O-EML</x:v>
      </x:c>
      <x:c r="B440" s="19" t="str">
        <x:v>C038</x:v>
      </x:c>
      <x:c r="C440" s="19" t="n">
        <x:v>8</x:v>
      </x:c>
      <x:c r="D440" s="19" t="str">
        <x:v>按实现</x:v>
      </x:c>
      <x:c r="E440" s="19" t="str">
        <x:v>光通道</x:v>
      </x:c>
      <x:c r="F440" s="19" t="str">
        <x:v>FAU可能按阵列封装，不等于单根数量</x:v>
      </x:c>
    </x:row>
    <x:row r="441" ht="15" hidden="0" customHeight="1">
      <x:c r="A441" s="19" t="str">
        <x:v>800-QDD-DR8-8E8O-EML</x:v>
      </x:c>
      <x:c r="B441" s="19" t="str">
        <x:v>C044</x:v>
      </x:c>
      <x:c r="C441" s="19" t="n">
        <x:v>1</x:v>
      </x:c>
      <x:c r="D441" s="19" t="str">
        <x:v>必需</x:v>
      </x:c>
      <x:c r="E441" s="19" t="str">
        <x:v>连接器级</x:v>
      </x:c>
      <x:c r="F441" s="19" t="str">
        <x:v>MPO16</x:v>
      </x:c>
    </x:row>
    <x:row r="442" ht="15" hidden="0" customHeight="1">
      <x:c r="A442" s="19" t="str">
        <x:v>800-QDD-DR8-8E8O-EML</x:v>
      </x:c>
      <x:c r="B442" s="19" t="str">
        <x:v>C045</x:v>
      </x:c>
      <x:c r="C442" s="19" t="n">
        <x:v>1</x:v>
      </x:c>
      <x:c r="D442" s="19" t="str">
        <x:v>内嵌</x:v>
      </x:c>
      <x:c r="E442" s="19" t="str">
        <x:v>连接器级</x:v>
      </x:c>
      <x:c r="F442" s="19" t="str">
        <x:v>MT插芯</x:v>
      </x:c>
    </x:row>
    <x:row r="443" ht="15" hidden="0" customHeight="1">
      <x:c r="A443" s="19" t="str">
        <x:v>800-QDD-DR8-8E8O-EML</x:v>
      </x:c>
      <x:c r="B443" s="19" t="str">
        <x:v>C046</x:v>
      </x:c>
      <x:c r="C443" s="19" t="n">
        <x:v>1</x:v>
      </x:c>
      <x:c r="D443" s="19" t="str">
        <x:v>内嵌</x:v>
      </x:c>
      <x:c r="E443" s="19" t="str">
        <x:v>连接器级</x:v>
      </x:c>
      <x:c r="F443" s="19" t="str">
        <x:v>导针与弹簧</x:v>
      </x:c>
    </x:row>
    <x:row r="444" ht="15" hidden="0" customHeight="1">
      <x:c r="A444" s="19" t="str">
        <x:v>800-QDD-DR8-8E8O-EML</x:v>
      </x:c>
      <x:c r="B444" s="19" t="str">
        <x:v>C053</x:v>
      </x:c>
      <x:c r="C444" s="19" t="n">
        <x:v>1</x:v>
      </x:c>
      <x:c r="D444" s="19" t="str">
        <x:v>必需</x:v>
      </x:c>
      <x:c r="E444" s="19" t="str">
        <x:v>热管理</x:v>
      </x:c>
      <x:c r="F444" s="19" t="str">
        <x:v>TIM</x:v>
      </x:c>
    </x:row>
    <x:row r="445" ht="15" hidden="0" customHeight="1">
      <x:c r="A445" s="19" t="str">
        <x:v>800-QDD-DR8-8E8O-EML</x:v>
      </x:c>
      <x:c r="B445" s="19" t="str">
        <x:v>C054</x:v>
      </x:c>
      <x:c r="C445" s="19" t="n">
        <x:v>1</x:v>
      </x:c>
      <x:c r="D445" s="19" t="str">
        <x:v>按实现</x:v>
      </x:c>
      <x:c r="E445" s="19" t="str">
        <x:v>封装</x:v>
      </x:c>
      <x:c r="F445" s="19" t="str">
        <x:v>光学胶/底填</x:v>
      </x:c>
    </x:row>
    <x:row r="446" ht="15" hidden="0" customHeight="1">
      <x:c r="A446" s="19" t="str">
        <x:v>800-QDD-SR8-8E8O-VCSEL</x:v>
      </x:c>
      <x:c r="B446" s="19" t="str">
        <x:v>C001</x:v>
      </x:c>
      <x:c r="C446" s="19" t="n">
        <x:v>1</x:v>
      </x:c>
      <x:c r="D446" s="19" t="str">
        <x:v>必需</x:v>
      </x:c>
      <x:c r="E446" s="19" t="str">
        <x:v>形态级</x:v>
      </x:c>
      <x:c r="F446" s="19" t="str">
        <x:v>QSFP-DD800</x:v>
      </x:c>
    </x:row>
    <x:row r="447" ht="15" hidden="0" customHeight="1">
      <x:c r="A447" s="19" t="str">
        <x:v>800-QDD-SR8-8E8O-VCSEL</x:v>
      </x:c>
      <x:c r="B447" s="19" t="str">
        <x:v>C002</x:v>
      </x:c>
      <x:c r="C447" s="19" t="n">
        <x:v>1</x:v>
      </x:c>
      <x:c r="D447" s="19" t="str">
        <x:v>必需</x:v>
      </x:c>
      <x:c r="E447" s="19" t="str">
        <x:v>形态级</x:v>
      </x:c>
      <x:c r="F447" s="19" t="str">
        <x:v>散热能力需按功耗校核</x:v>
      </x:c>
    </x:row>
    <x:row r="448" ht="15" hidden="0" customHeight="1">
      <x:c r="A448" s="19" t="str">
        <x:v>800-QDD-SR8-8E8O-VCSEL</x:v>
      </x:c>
      <x:c r="B448" s="19" t="str">
        <x:v>C003</x:v>
      </x:c>
      <x:c r="C448" s="19" t="n">
        <x:v>1</x:v>
      </x:c>
      <x:c r="D448" s="19" t="str">
        <x:v>必需</x:v>
      </x:c>
      <x:c r="E448" s="19" t="str">
        <x:v>形态级</x:v>
      </x:c>
      <x:c r="F448" s="19" t="str">
        <x:v>CPO无传统前面板模块拉环</x:v>
      </x:c>
    </x:row>
    <x:row r="449" ht="15" hidden="0" customHeight="1">
      <x:c r="A449" s="19" t="str">
        <x:v>800-QDD-SR8-8E8O-VCSEL</x:v>
      </x:c>
      <x:c r="B449" s="19" t="str">
        <x:v>C004</x:v>
      </x:c>
      <x:c r="C449" s="19" t="n">
        <x:v>1</x:v>
      </x:c>
      <x:c r="D449" s="19" t="str">
        <x:v>必需</x:v>
      </x:c>
      <x:c r="E449" s="19" t="str">
        <x:v>代表性</x:v>
      </x:c>
      <x:c r="F449" s="19" t="str">
        <x:v>EMI屏蔽结构依外壳设计</x:v>
      </x:c>
    </x:row>
    <x:row r="450" ht="15" hidden="0" customHeight="1">
      <x:c r="A450" s="19" t="str">
        <x:v>800-QDD-SR8-8E8O-VCSEL</x:v>
      </x:c>
      <x:c r="B450" s="19" t="str">
        <x:v>C005</x:v>
      </x:c>
      <x:c r="C450" s="19" t="n">
        <x:v>1</x:v>
      </x:c>
      <x:c r="D450" s="19" t="str">
        <x:v>必需</x:v>
      </x:c>
      <x:c r="E450" s="19" t="str">
        <x:v>代表性</x:v>
      </x:c>
      <x:c r="F450" s="19" t="str">
        <x:v>CPO可采用封装基板+系统PCB</x:v>
      </x:c>
    </x:row>
    <x:row r="451" ht="15" hidden="0" customHeight="1">
      <x:c r="A451" s="19" t="str">
        <x:v>800-QDD-SR8-8E8O-VCSEL</x:v>
      </x:c>
      <x:c r="B451" s="19" t="str">
        <x:v>C056</x:v>
      </x:c>
      <x:c r="C451" s="19" t="n">
        <x:v>1</x:v>
      </x:c>
      <x:c r="D451" s="19" t="str">
        <x:v>必需</x:v>
      </x:c>
      <x:c r="E451" s="19" t="str">
        <x:v>形态级</x:v>
      </x:c>
      <x:c r="F451" s="19" t="str">
        <x:v>可插拔模块主机侧金手指/电连接器</x:v>
      </x:c>
    </x:row>
    <x:row r="452" ht="15" hidden="0" customHeight="1">
      <x:c r="A452" s="19" t="str">
        <x:v>800-QDD-SR8-8E8O-VCSEL</x:v>
      </x:c>
      <x:c r="B452" s="19" t="str">
        <x:v>C057</x:v>
      </x:c>
      <x:c r="C452" s="19" t="n">
        <x:v>1</x:v>
      </x:c>
      <x:c r="D452" s="19" t="str">
        <x:v>系统配套</x:v>
      </x:c>
      <x:c r="E452" s="19" t="str">
        <x:v>系统级</x:v>
      </x:c>
      <x:c r="F452" s="19" t="str">
        <x:v>cage不属于模块内采购BOM</x:v>
      </x:c>
    </x:row>
    <x:row r="453" ht="15" hidden="0" customHeight="1">
      <x:c r="A453" s="19" t="str">
        <x:v>800-QDD-SR8-8E8O-VCSEL</x:v>
      </x:c>
      <x:c r="B453" s="19" t="str">
        <x:v>C007</x:v>
      </x:c>
      <x:c r="C453" s="19" t="n">
        <x:v>1</x:v>
      </x:c>
      <x:c r="D453" s="19" t="str">
        <x:v>必需</x:v>
      </x:c>
      <x:c r="E453" s="19" t="str">
        <x:v>代表性</x:v>
      </x:c>
      <x:c r="F453" s="19" t="str">
        <x:v>光引擎承载基板/Interposer</x:v>
      </x:c>
    </x:row>
    <x:row r="454" ht="15" hidden="0" customHeight="1">
      <x:c r="A454" s="19" t="str">
        <x:v>800-QDD-SR8-8E8O-VCSEL</x:v>
      </x:c>
      <x:c r="B454" s="19" t="str">
        <x:v>C008</x:v>
      </x:c>
      <x:c r="C454" s="19" t="n">
        <x:v>1</x:v>
      </x:c>
      <x:c r="D454" s="19" t="str">
        <x:v>必需</x:v>
      </x:c>
      <x:c r="E454" s="19" t="str">
        <x:v>代表性</x:v>
      </x:c>
      <x:c r="F454" s="19" t="str">
        <x:v>数量按功耗域，不等于精确颗数</x:v>
      </x:c>
    </x:row>
    <x:row r="455" ht="15" hidden="0" customHeight="1">
      <x:c r="A455" s="19" t="str">
        <x:v>800-QDD-SR8-8E8O-VCSEL</x:v>
      </x:c>
      <x:c r="B455" s="19" t="str">
        <x:v>C009</x:v>
      </x:c>
      <x:c r="C455" s="19" t="n">
        <x:v>1</x:v>
      </x:c>
      <x:c r="D455" s="19" t="str">
        <x:v>必需</x:v>
      </x:c>
      <x:c r="E455" s="19" t="str">
        <x:v>管理接口</x:v>
      </x:c>
      <x:c r="F455" s="19" t="str">
        <x:v>可插拔模块使用CMIS管理</x:v>
      </x:c>
    </x:row>
    <x:row r="456" ht="15" hidden="0" customHeight="1">
      <x:c r="A456" s="19" t="str">
        <x:v>800-QDD-SR8-8E8O-VCSEL</x:v>
      </x:c>
      <x:c r="B456" s="19" t="str">
        <x:v>C010</x:v>
      </x:c>
      <x:c r="C456" s="19" t="n">
        <x:v>1</x:v>
      </x:c>
      <x:c r="D456" s="19" t="str">
        <x:v>按实现</x:v>
      </x:c>
      <x:c r="E456" s="19" t="str">
        <x:v>代表性</x:v>
      </x:c>
      <x:c r="F456" s="19" t="str">
        <x:v>模块控制与校准</x:v>
      </x:c>
    </x:row>
    <x:row r="457" ht="15" hidden="0" customHeight="1">
      <x:c r="A457" s="19" t="str">
        <x:v>800-QDD-SR8-8E8O-VCSEL</x:v>
      </x:c>
      <x:c r="B457" s="19" t="str">
        <x:v>C058</x:v>
      </x:c>
      <x:c r="C457" s="19" t="n">
        <x:v>1</x:v>
      </x:c>
      <x:c r="D457" s="19" t="str">
        <x:v>按实现</x:v>
      </x:c>
      <x:c r="E457" s="19" t="str">
        <x:v>时钟架构</x:v>
      </x:c>
      <x:c r="F457" s="19" t="str">
        <x:v>可由主机提供REFCLK或使用模块内时钟器件</x:v>
      </x:c>
    </x:row>
    <x:row r="458" ht="15" hidden="0" customHeight="1">
      <x:c r="A458" s="19" t="str">
        <x:v>800-QDD-SR8-8E8O-VCSEL</x:v>
      </x:c>
      <x:c r="B458" s="19" t="str">
        <x:v>C059</x:v>
      </x:c>
      <x:c r="C458" s="19" t="n">
        <x:v>1</x:v>
      </x:c>
      <x:c r="D458" s="19" t="str">
        <x:v>必需/可集成</x:v>
      </x:c>
      <x:c r="E458" s="19" t="str">
        <x:v>监控功能</x:v>
      </x:c>
      <x:c r="F458" s="19" t="str">
        <x:v>CMIS/控制系统温度监测</x:v>
      </x:c>
    </x:row>
    <x:row r="459" ht="15" hidden="0" customHeight="1">
      <x:c r="A459" s="19" t="str">
        <x:v>800-QDD-SR8-8E8O-VCSEL</x:v>
      </x:c>
      <x:c r="B459" s="19" t="str">
        <x:v>C060</x:v>
      </x:c>
      <x:c r="C459" s="19" t="n">
        <x:v>1</x:v>
      </x:c>
      <x:c r="D459" s="19" t="str">
        <x:v>必需</x:v>
      </x:c>
      <x:c r="E459" s="19" t="str">
        <x:v>器件组</x:v>
      </x:c>
      <x:c r="F459" s="19" t="str">
        <x:v>R/C/L数量不按lane数表示</x:v>
      </x:c>
    </x:row>
    <x:row r="460" ht="15" hidden="0" customHeight="1">
      <x:c r="A460" s="19" t="str">
        <x:v>800-QDD-SR8-8E8O-VCSEL</x:v>
      </x:c>
      <x:c r="B460" s="19" t="str">
        <x:v>C062</x:v>
      </x:c>
      <x:c r="C460" s="19" t="n">
        <x:v>1</x:v>
      </x:c>
      <x:c r="D460" s="19" t="str">
        <x:v>按封装</x:v>
      </x:c>
      <x:c r="E460" s="19" t="str">
        <x:v>互连工艺</x:v>
      </x:c>
      <x:c r="F460" s="19" t="str">
        <x:v>flip-chip平台使用</x:v>
      </x:c>
    </x:row>
    <x:row r="461" ht="15" hidden="0" customHeight="1">
      <x:c r="A461" s="19" t="str">
        <x:v>800-QDD-SR8-8E8O-VCSEL</x:v>
      </x:c>
      <x:c r="B461" s="19" t="str">
        <x:v>C063</x:v>
      </x:c>
      <x:c r="C461" s="19" t="n">
        <x:v>1</x:v>
      </x:c>
      <x:c r="D461" s="19" t="str">
        <x:v>按封装</x:v>
      </x:c>
      <x:c r="E461" s="19" t="str">
        <x:v>互连工艺</x:v>
      </x:c>
      <x:c r="F461" s="19" t="str">
        <x:v>wire/ribbon bond平台使用</x:v>
      </x:c>
    </x:row>
    <x:row r="462" ht="15" hidden="0" customHeight="1">
      <x:c r="A462" s="19" t="str">
        <x:v>800-QDD-SR8-8E8O-VCSEL</x:v>
      </x:c>
      <x:c r="B462" s="19" t="str">
        <x:v>C011</x:v>
      </x:c>
      <x:c r="C462" s="19" t="n">
        <x:v>1</x:v>
      </x:c>
      <x:c r="D462" s="19" t="str">
        <x:v>必需</x:v>
      </x:c>
      <x:c r="E462" s="19" t="str">
        <x:v>架构级</x:v>
      </x:c>
      <x:c r="F462" s="19" t="str">
        <x:v>含DSP</x:v>
      </x:c>
    </x:row>
    <x:row r="463" ht="15" hidden="0" customHeight="1">
      <x:c r="A463" s="19" t="str">
        <x:v>800-QDD-SR8-8E8O-VCSEL</x:v>
      </x:c>
      <x:c r="B463" s="19" t="str">
        <x:v>C014</x:v>
      </x:c>
      <x:c r="C463" s="19" t="n">
        <x:v>8</x:v>
      </x:c>
      <x:c r="D463" s="19" t="str">
        <x:v>必需</x:v>
      </x:c>
      <x:c r="E463" s="19" t="str">
        <x:v>功能通道数</x:v>
      </x:c>
      <x:c r="F463" s="19" t="str">
        <x:v>可能为阵列/多通道die，非精确封装颗数</x:v>
      </x:c>
    </x:row>
    <x:row r="464" ht="15" hidden="0" customHeight="1">
      <x:c r="A464" s="19" t="str">
        <x:v>800-QDD-SR8-8E8O-VCSEL</x:v>
      </x:c>
      <x:c r="B464" s="19" t="str">
        <x:v>C015</x:v>
      </x:c>
      <x:c r="C464" s="19" t="n">
        <x:v>8</x:v>
      </x:c>
      <x:c r="D464" s="19" t="str">
        <x:v>必需</x:v>
      </x:c>
      <x:c r="E464" s="19" t="str">
        <x:v>功能通道数</x:v>
      </x:c>
      <x:c r="F464" s="19" t="str">
        <x:v>可能为阵列/多通道die，非精确封装颗数</x:v>
      </x:c>
    </x:row>
    <x:row r="465" ht="15" hidden="0" customHeight="1">
      <x:c r="A465" s="19" t="str">
        <x:v>800-QDD-SR8-8E8O-VCSEL</x:v>
      </x:c>
      <x:c r="B465" s="19" t="str">
        <x:v>C016</x:v>
      </x:c>
      <x:c r="C465" s="19" t="n">
        <x:v>8</x:v>
      </x:c>
      <x:c r="D465" s="19" t="str">
        <x:v>必需</x:v>
      </x:c>
      <x:c r="E465" s="19" t="str">
        <x:v>光通道</x:v>
      </x:c>
      <x:c r="F465" s="19" t="str">
        <x:v>VCSEL阵列通道数</x:v>
      </x:c>
    </x:row>
    <x:row r="466" ht="15" hidden="0" customHeight="1">
      <x:c r="A466" s="19" t="str">
        <x:v>800-QDD-SR8-8E8O-VCSEL</x:v>
      </x:c>
      <x:c r="B466" s="19" t="str">
        <x:v>C017</x:v>
      </x:c>
      <x:c r="C466" s="19" t="n">
        <x:v>8</x:v>
      </x:c>
      <x:c r="D466" s="19" t="str">
        <x:v>内嵌</x:v>
      </x:c>
      <x:c r="E466" s="19" t="str">
        <x:v>微结构</x:v>
      </x:c>
      <x:c r="F466" s="19" t="str">
        <x:v>每个VCSEL单元的氧化孔径</x:v>
      </x:c>
    </x:row>
    <x:row r="467" ht="15" hidden="0" customHeight="1">
      <x:c r="A467" s="19" t="str">
        <x:v>800-QDD-SR8-8E8O-VCSEL</x:v>
      </x:c>
      <x:c r="B467" s="19" t="str">
        <x:v>C018</x:v>
      </x:c>
      <x:c r="C467" s="19" t="n">
        <x:v>8</x:v>
      </x:c>
      <x:c r="D467" s="19" t="str">
        <x:v>内嵌</x:v>
      </x:c>
      <x:c r="E467" s="19" t="str">
        <x:v>微结构</x:v>
      </x:c>
      <x:c r="F467" s="19" t="str">
        <x:v>上下DBR按外延周期形成，不是独立采购件</x:v>
      </x:c>
    </x:row>
    <x:row r="468" ht="15" hidden="0" customHeight="1">
      <x:c r="A468" s="19" t="str">
        <x:v>800-QDD-SR8-8E8O-VCSEL</x:v>
      </x:c>
      <x:c r="B468" s="19" t="str">
        <x:v>C019</x:v>
      </x:c>
      <x:c r="C468" s="19" t="n">
        <x:v>8</x:v>
      </x:c>
      <x:c r="D468" s="19" t="str">
        <x:v>内嵌</x:v>
      </x:c>
      <x:c r="E468" s="19" t="str">
        <x:v>微结构</x:v>
      </x:c>
      <x:c r="F468" s="19" t="str">
        <x:v>谐振腔</x:v>
      </x:c>
    </x:row>
    <x:row r="469" ht="15" hidden="0" customHeight="1">
      <x:c r="A469" s="19" t="str">
        <x:v>800-QDD-SR8-8E8O-VCSEL</x:v>
      </x:c>
      <x:c r="B469" s="19" t="str">
        <x:v>C068</x:v>
      </x:c>
      <x:c r="C469" s="19" t="n">
        <x:v>8</x:v>
      </x:c>
      <x:c r="D469" s="19" t="str">
        <x:v>内嵌</x:v>
      </x:c>
      <x:c r="E469" s="19" t="str">
        <x:v>微结构</x:v>
      </x:c>
      <x:c r="F469" s="19" t="str">
        <x:v>VCSEL量子阱有源区</x:v>
      </x:c>
    </x:row>
    <x:row r="470" ht="15" hidden="0" customHeight="1">
      <x:c r="A470" s="19" t="str">
        <x:v>800-QDD-SR8-8E8O-VCSEL</x:v>
      </x:c>
      <x:c r="B470" s="19" t="str">
        <x:v>C061</x:v>
      </x:c>
      <x:c r="C470" s="19" t="n">
        <x:v>1</x:v>
      </x:c>
      <x:c r="D470" s="19" t="str">
        <x:v>按封装</x:v>
      </x:c>
      <x:c r="E470" s="19" t="str">
        <x:v>封装</x:v>
      </x:c>
      <x:c r="F470" s="19" t="str">
        <x:v>VCSEL/PD阵列承载</x:v>
      </x:c>
    </x:row>
    <x:row r="471" ht="15" hidden="0" customHeight="1">
      <x:c r="A471" s="19" t="str">
        <x:v>800-QDD-SR8-8E8O-VCSEL</x:v>
      </x:c>
      <x:c r="B471" s="19" t="str">
        <x:v>C032</x:v>
      </x:c>
      <x:c r="C471" s="19" t="n">
        <x:v>8</x:v>
      </x:c>
      <x:c r="D471" s="19" t="str">
        <x:v>必需</x:v>
      </x:c>
      <x:c r="E471" s="19" t="str">
        <x:v>光通道</x:v>
      </x:c>
      <x:c r="F471" s="19" t="str">
        <x:v>GaAs PIN Array</x:v>
      </x:c>
    </x:row>
    <x:row r="472" ht="15" hidden="0" customHeight="1">
      <x:c r="A472" s="19" t="str">
        <x:v>800-QDD-SR8-8E8O-VCSEL</x:v>
      </x:c>
      <x:c r="B472" s="19" t="str">
        <x:v>C050</x:v>
      </x:c>
      <x:c r="C472" s="19" t="n">
        <x:v>8</x:v>
      </x:c>
      <x:c r="D472" s="19" t="str">
        <x:v>必需</x:v>
      </x:c>
      <x:c r="E472" s="19" t="str">
        <x:v>光纤通道</x:v>
      </x:c>
      <x:c r="F472" s="19" t="str">
        <x:v>MMF</x:v>
      </x:c>
    </x:row>
    <x:row r="473" ht="15" hidden="0" customHeight="1">
      <x:c r="A473" s="19"/>
      <x:c r="B473" s="19"/>
      <x:c r="C473" s="19"/>
      <x:c r="D473" s="19"/>
      <x:c r="E473" s="19"/>
      <x:c r="F473" s="19"/>
    </x:row>
    <x:row r="474" ht="15" hidden="0" customHeight="1">
      <x:c r="A474" s="19"/>
      <x:c r="B474" s="19"/>
      <x:c r="C474" s="19"/>
      <x:c r="D474" s="19"/>
      <x:c r="E474" s="19"/>
      <x:c r="F474" s="19"/>
    </x:row>
    <x:row r="475" ht="15" hidden="0" customHeight="1">
      <x:c r="A475" s="19"/>
      <x:c r="B475" s="19"/>
      <x:c r="C475" s="19"/>
      <x:c r="D475" s="19"/>
      <x:c r="E475" s="19"/>
      <x:c r="F475" s="19"/>
    </x:row>
    <x:row r="476" ht="15" hidden="0" customHeight="1">
      <x:c r="A476" s="19" t="str">
        <x:v>800-QDD-SR8-8E8O-VCSEL</x:v>
      </x:c>
      <x:c r="B476" s="19" t="str">
        <x:v>C037</x:v>
      </x:c>
      <x:c r="C476" s="19" t="n">
        <x:v>8</x:v>
      </x:c>
      <x:c r="D476" s="19" t="str">
        <x:v>按实现</x:v>
      </x:c>
      <x:c r="E476" s="19" t="str">
        <x:v>光通道</x:v>
      </x:c>
      <x:c r="F476" s="19" t="str">
        <x:v>自由空间/阵列耦合时使用</x:v>
      </x:c>
    </x:row>
    <x:row r="477" ht="15" hidden="0" customHeight="1">
      <x:c r="A477" s="19" t="str">
        <x:v>800-QDD-SR8-8E8O-VCSEL</x:v>
      </x:c>
      <x:c r="B477" s="19" t="str">
        <x:v>C038</x:v>
      </x:c>
      <x:c r="C477" s="19" t="n">
        <x:v>8</x:v>
      </x:c>
      <x:c r="D477" s="19" t="str">
        <x:v>按实现</x:v>
      </x:c>
      <x:c r="E477" s="19" t="str">
        <x:v>光通道</x:v>
      </x:c>
      <x:c r="F477" s="19" t="str">
        <x:v>FAU可能按阵列封装，不等于单根数量</x:v>
      </x:c>
    </x:row>
    <x:row r="478" ht="15" hidden="0" customHeight="1">
      <x:c r="A478" s="19" t="str">
        <x:v>800-QDD-SR8-8E8O-VCSEL</x:v>
      </x:c>
      <x:c r="B478" s="19" t="str">
        <x:v>C044</x:v>
      </x:c>
      <x:c r="C478" s="19" t="n">
        <x:v>2</x:v>
      </x:c>
      <x:c r="D478" s="19" t="str">
        <x:v>必需</x:v>
      </x:c>
      <x:c r="E478" s="19" t="str">
        <x:v>连接器级</x:v>
      </x:c>
      <x:c r="F478" s="19" t="str">
        <x:v>Dual MPO12</x:v>
      </x:c>
    </x:row>
    <x:row r="479" ht="15" hidden="0" customHeight="1">
      <x:c r="A479" s="19" t="str">
        <x:v>800-QDD-SR8-8E8O-VCSEL</x:v>
      </x:c>
      <x:c r="B479" s="19" t="str">
        <x:v>C045</x:v>
      </x:c>
      <x:c r="C479" s="19" t="n">
        <x:v>2</x:v>
      </x:c>
      <x:c r="D479" s="19" t="str">
        <x:v>内嵌</x:v>
      </x:c>
      <x:c r="E479" s="19" t="str">
        <x:v>连接器级</x:v>
      </x:c>
      <x:c r="F479" s="19" t="str">
        <x:v>MT插芯</x:v>
      </x:c>
    </x:row>
    <x:row r="480" ht="15" hidden="0" customHeight="1">
      <x:c r="A480" s="19" t="str">
        <x:v>800-QDD-SR8-8E8O-VCSEL</x:v>
      </x:c>
      <x:c r="B480" s="19" t="str">
        <x:v>C046</x:v>
      </x:c>
      <x:c r="C480" s="19" t="n">
        <x:v>2</x:v>
      </x:c>
      <x:c r="D480" s="19" t="str">
        <x:v>内嵌</x:v>
      </x:c>
      <x:c r="E480" s="19" t="str">
        <x:v>连接器级</x:v>
      </x:c>
      <x:c r="F480" s="19" t="str">
        <x:v>导针与弹簧</x:v>
      </x:c>
    </x:row>
    <x:row r="481" ht="15" hidden="0" customHeight="1">
      <x:c r="A481" s="19" t="str">
        <x:v>800-QDD-SR8-8E8O-VCSEL</x:v>
      </x:c>
      <x:c r="B481" s="19" t="str">
        <x:v>C053</x:v>
      </x:c>
      <x:c r="C481" s="19" t="n">
        <x:v>1</x:v>
      </x:c>
      <x:c r="D481" s="19" t="str">
        <x:v>必需</x:v>
      </x:c>
      <x:c r="E481" s="19" t="str">
        <x:v>热管理</x:v>
      </x:c>
      <x:c r="F481" s="19" t="str">
        <x:v>TIM</x:v>
      </x:c>
    </x:row>
    <x:row r="482" ht="15" hidden="0" customHeight="1">
      <x:c r="A482" s="19" t="str">
        <x:v>800-QDD-SR8-8E8O-VCSEL</x:v>
      </x:c>
      <x:c r="B482" s="19" t="str">
        <x:v>C054</x:v>
      </x:c>
      <x:c r="C482" s="19" t="n">
        <x:v>1</x:v>
      </x:c>
      <x:c r="D482" s="19" t="str">
        <x:v>按实现</x:v>
      </x:c>
      <x:c r="E482" s="19" t="str">
        <x:v>封装</x:v>
      </x:c>
      <x:c r="F482" s="19" t="str">
        <x:v>光学胶/底填</x:v>
      </x:c>
    </x:row>
    <x:row r="483" ht="15" hidden="0" customHeight="1">
      <x:c r="A483" s="19" t="str">
        <x:v>800-O112-2LR4-8E8O-EML</x:v>
      </x:c>
      <x:c r="B483" s="19" t="str">
        <x:v>C001</x:v>
      </x:c>
      <x:c r="C483" s="19" t="n">
        <x:v>1</x:v>
      </x:c>
      <x:c r="D483" s="19" t="str">
        <x:v>必需</x:v>
      </x:c>
      <x:c r="E483" s="19" t="str">
        <x:v>形态级</x:v>
      </x:c>
      <x:c r="F483" s="19" t="str">
        <x:v>OSFP112</x:v>
      </x:c>
    </x:row>
    <x:row r="484" ht="15" hidden="0" customHeight="1">
      <x:c r="A484" s="19" t="str">
        <x:v>800-O112-2LR4-8E8O-EML</x:v>
      </x:c>
      <x:c r="B484" s="19" t="str">
        <x:v>C002</x:v>
      </x:c>
      <x:c r="C484" s="19" t="n">
        <x:v>1</x:v>
      </x:c>
      <x:c r="D484" s="19" t="str">
        <x:v>必需</x:v>
      </x:c>
      <x:c r="E484" s="19" t="str">
        <x:v>形态级</x:v>
      </x:c>
      <x:c r="F484" s="19" t="str">
        <x:v>散热能力需按功耗校核</x:v>
      </x:c>
    </x:row>
    <x:row r="485" ht="15" hidden="0" customHeight="1">
      <x:c r="A485" s="19" t="str">
        <x:v>800-O112-2LR4-8E8O-EML</x:v>
      </x:c>
      <x:c r="B485" s="19" t="str">
        <x:v>C003</x:v>
      </x:c>
      <x:c r="C485" s="19" t="n">
        <x:v>1</x:v>
      </x:c>
      <x:c r="D485" s="19" t="str">
        <x:v>必需</x:v>
      </x:c>
      <x:c r="E485" s="19" t="str">
        <x:v>形态级</x:v>
      </x:c>
      <x:c r="F485" s="19" t="str">
        <x:v>CPO无传统前面板模块拉环</x:v>
      </x:c>
    </x:row>
    <x:row r="486" ht="15" hidden="0" customHeight="1">
      <x:c r="A486" s="19" t="str">
        <x:v>800-O112-2LR4-8E8O-EML</x:v>
      </x:c>
      <x:c r="B486" s="19" t="str">
        <x:v>C004</x:v>
      </x:c>
      <x:c r="C486" s="19" t="n">
        <x:v>1</x:v>
      </x:c>
      <x:c r="D486" s="19" t="str">
        <x:v>必需</x:v>
      </x:c>
      <x:c r="E486" s="19" t="str">
        <x:v>代表性</x:v>
      </x:c>
      <x:c r="F486" s="19" t="str">
        <x:v>EMI屏蔽结构依外壳设计</x:v>
      </x:c>
    </x:row>
    <x:row r="487" ht="15" hidden="0" customHeight="1">
      <x:c r="A487" s="19" t="str">
        <x:v>800-O112-2LR4-8E8O-EML</x:v>
      </x:c>
      <x:c r="B487" s="19" t="str">
        <x:v>C005</x:v>
      </x:c>
      <x:c r="C487" s="19" t="n">
        <x:v>1</x:v>
      </x:c>
      <x:c r="D487" s="19" t="str">
        <x:v>必需</x:v>
      </x:c>
      <x:c r="E487" s="19" t="str">
        <x:v>代表性</x:v>
      </x:c>
      <x:c r="F487" s="19" t="str">
        <x:v>CPO可采用封装基板+系统PCB</x:v>
      </x:c>
    </x:row>
    <x:row r="488" ht="15" hidden="0" customHeight="1">
      <x:c r="A488" s="19" t="str">
        <x:v>800-O112-2LR4-8E8O-EML</x:v>
      </x:c>
      <x:c r="B488" s="19" t="str">
        <x:v>C056</x:v>
      </x:c>
      <x:c r="C488" s="19" t="n">
        <x:v>1</x:v>
      </x:c>
      <x:c r="D488" s="19" t="str">
        <x:v>必需</x:v>
      </x:c>
      <x:c r="E488" s="19" t="str">
        <x:v>形态级</x:v>
      </x:c>
      <x:c r="F488" s="19" t="str">
        <x:v>可插拔模块主机侧金手指/电连接器</x:v>
      </x:c>
    </x:row>
    <x:row r="489" ht="15" hidden="0" customHeight="1">
      <x:c r="A489" s="19" t="str">
        <x:v>800-O112-2LR4-8E8O-EML</x:v>
      </x:c>
      <x:c r="B489" s="19" t="str">
        <x:v>C057</x:v>
      </x:c>
      <x:c r="C489" s="19" t="n">
        <x:v>1</x:v>
      </x:c>
      <x:c r="D489" s="19" t="str">
        <x:v>系统配套</x:v>
      </x:c>
      <x:c r="E489" s="19" t="str">
        <x:v>系统级</x:v>
      </x:c>
      <x:c r="F489" s="19" t="str">
        <x:v>cage不属于模块内采购BOM</x:v>
      </x:c>
    </x:row>
    <x:row r="490" ht="15" hidden="0" customHeight="1">
      <x:c r="A490" s="19" t="str">
        <x:v>800-O112-2LR4-8E8O-EML</x:v>
      </x:c>
      <x:c r="B490" s="19" t="str">
        <x:v>C007</x:v>
      </x:c>
      <x:c r="C490" s="19" t="n">
        <x:v>1</x:v>
      </x:c>
      <x:c r="D490" s="19" t="str">
        <x:v>必需</x:v>
      </x:c>
      <x:c r="E490" s="19" t="str">
        <x:v>代表性</x:v>
      </x:c>
      <x:c r="F490" s="19" t="str">
        <x:v>光引擎承载基板/Interposer</x:v>
      </x:c>
    </x:row>
    <x:row r="491" ht="15" hidden="0" customHeight="1">
      <x:c r="A491" s="19" t="str">
        <x:v>800-O112-2LR4-8E8O-EML</x:v>
      </x:c>
      <x:c r="B491" s="19" t="str">
        <x:v>C008</x:v>
      </x:c>
      <x:c r="C491" s="19" t="n">
        <x:v>1</x:v>
      </x:c>
      <x:c r="D491" s="19" t="str">
        <x:v>必需</x:v>
      </x:c>
      <x:c r="E491" s="19" t="str">
        <x:v>代表性</x:v>
      </x:c>
      <x:c r="F491" s="19" t="str">
        <x:v>数量按功耗域，不等于精确颗数</x:v>
      </x:c>
    </x:row>
    <x:row r="492" ht="15" hidden="0" customHeight="1">
      <x:c r="A492" s="19" t="str">
        <x:v>800-O112-2LR4-8E8O-EML</x:v>
      </x:c>
      <x:c r="B492" s="19" t="str">
        <x:v>C009</x:v>
      </x:c>
      <x:c r="C492" s="19" t="n">
        <x:v>1</x:v>
      </x:c>
      <x:c r="D492" s="19" t="str">
        <x:v>必需</x:v>
      </x:c>
      <x:c r="E492" s="19" t="str">
        <x:v>管理接口</x:v>
      </x:c>
      <x:c r="F492" s="19" t="str">
        <x:v>可插拔模块使用CMIS管理</x:v>
      </x:c>
    </x:row>
    <x:row r="493" ht="15" hidden="0" customHeight="1">
      <x:c r="A493" s="19" t="str">
        <x:v>800-O112-2LR4-8E8O-EML</x:v>
      </x:c>
      <x:c r="B493" s="19" t="str">
        <x:v>C010</x:v>
      </x:c>
      <x:c r="C493" s="19" t="n">
        <x:v>1</x:v>
      </x:c>
      <x:c r="D493" s="19" t="str">
        <x:v>按实现</x:v>
      </x:c>
      <x:c r="E493" s="19" t="str">
        <x:v>代表性</x:v>
      </x:c>
      <x:c r="F493" s="19" t="str">
        <x:v>模块控制与校准</x:v>
      </x:c>
    </x:row>
    <x:row r="494" ht="15" hidden="0" customHeight="1">
      <x:c r="A494" s="19" t="str">
        <x:v>800-O112-2LR4-8E8O-EML</x:v>
      </x:c>
      <x:c r="B494" s="19" t="str">
        <x:v>C058</x:v>
      </x:c>
      <x:c r="C494" s="19" t="n">
        <x:v>1</x:v>
      </x:c>
      <x:c r="D494" s="19" t="str">
        <x:v>按实现</x:v>
      </x:c>
      <x:c r="E494" s="19" t="str">
        <x:v>时钟架构</x:v>
      </x:c>
      <x:c r="F494" s="19" t="str">
        <x:v>可由主机提供REFCLK或使用模块内时钟器件</x:v>
      </x:c>
    </x:row>
    <x:row r="495" ht="15" hidden="0" customHeight="1">
      <x:c r="A495" s="19" t="str">
        <x:v>800-O112-2LR4-8E8O-EML</x:v>
      </x:c>
      <x:c r="B495" s="19" t="str">
        <x:v>C059</x:v>
      </x:c>
      <x:c r="C495" s="19" t="n">
        <x:v>1</x:v>
      </x:c>
      <x:c r="D495" s="19" t="str">
        <x:v>必需/可集成</x:v>
      </x:c>
      <x:c r="E495" s="19" t="str">
        <x:v>监控功能</x:v>
      </x:c>
      <x:c r="F495" s="19" t="str">
        <x:v>CMIS/控制系统温度监测</x:v>
      </x:c>
    </x:row>
    <x:row r="496" ht="15" hidden="0" customHeight="1">
      <x:c r="A496" s="19" t="str">
        <x:v>800-O112-2LR4-8E8O-EML</x:v>
      </x:c>
      <x:c r="B496" s="19" t="str">
        <x:v>C060</x:v>
      </x:c>
      <x:c r="C496" s="19" t="n">
        <x:v>1</x:v>
      </x:c>
      <x:c r="D496" s="19" t="str">
        <x:v>必需</x:v>
      </x:c>
      <x:c r="E496" s="19" t="str">
        <x:v>器件组</x:v>
      </x:c>
      <x:c r="F496" s="19" t="str">
        <x:v>R/C/L数量不按lane数表示</x:v>
      </x:c>
    </x:row>
    <x:row r="497" ht="15" hidden="0" customHeight="1">
      <x:c r="A497" s="19" t="str">
        <x:v>800-O112-2LR4-8E8O-EML</x:v>
      </x:c>
      <x:c r="B497" s="19" t="str">
        <x:v>C062</x:v>
      </x:c>
      <x:c r="C497" s="19" t="n">
        <x:v>1</x:v>
      </x:c>
      <x:c r="D497" s="19" t="str">
        <x:v>按封装</x:v>
      </x:c>
      <x:c r="E497" s="19" t="str">
        <x:v>互连工艺</x:v>
      </x:c>
      <x:c r="F497" s="19" t="str">
        <x:v>flip-chip平台使用</x:v>
      </x:c>
    </x:row>
    <x:row r="498" ht="15" hidden="0" customHeight="1">
      <x:c r="A498" s="19" t="str">
        <x:v>800-O112-2LR4-8E8O-EML</x:v>
      </x:c>
      <x:c r="B498" s="19" t="str">
        <x:v>C063</x:v>
      </x:c>
      <x:c r="C498" s="19" t="n">
        <x:v>1</x:v>
      </x:c>
      <x:c r="D498" s="19" t="str">
        <x:v>按封装</x:v>
      </x:c>
      <x:c r="E498" s="19" t="str">
        <x:v>互连工艺</x:v>
      </x:c>
      <x:c r="F498" s="19" t="str">
        <x:v>wire/ribbon bond平台使用</x:v>
      </x:c>
    </x:row>
    <x:row r="499" ht="15" hidden="0" customHeight="1">
      <x:c r="A499" s="19" t="str">
        <x:v>800-O112-2LR4-8E8O-EML</x:v>
      </x:c>
      <x:c r="B499" s="19" t="str">
        <x:v>C011</x:v>
      </x:c>
      <x:c r="C499" s="19" t="n">
        <x:v>1</x:v>
      </x:c>
      <x:c r="D499" s="19" t="str">
        <x:v>必需</x:v>
      </x:c>
      <x:c r="E499" s="19" t="str">
        <x:v>架构级</x:v>
      </x:c>
      <x:c r="F499" s="19" t="str">
        <x:v>含DSP</x:v>
      </x:c>
    </x:row>
    <x:row r="500" ht="15" hidden="0" customHeight="1">
      <x:c r="A500" s="19" t="str">
        <x:v>800-O112-2LR4-8E8O-EML</x:v>
      </x:c>
      <x:c r="B500" s="19" t="str">
        <x:v>C014</x:v>
      </x:c>
      <x:c r="C500" s="19" t="n">
        <x:v>8</x:v>
      </x:c>
      <x:c r="D500" s="19" t="str">
        <x:v>必需</x:v>
      </x:c>
      <x:c r="E500" s="19" t="str">
        <x:v>功能通道数</x:v>
      </x:c>
      <x:c r="F500" s="19" t="str">
        <x:v>可能为阵列/多通道die，非精确封装颗数</x:v>
      </x:c>
    </x:row>
    <x:row r="501" ht="15" hidden="0" customHeight="1">
      <x:c r="A501" s="19" t="str">
        <x:v>800-O112-2LR4-8E8O-EML</x:v>
      </x:c>
      <x:c r="B501" s="19" t="str">
        <x:v>C015</x:v>
      </x:c>
      <x:c r="C501" s="19" t="n">
        <x:v>8</x:v>
      </x:c>
      <x:c r="D501" s="19" t="str">
        <x:v>必需</x:v>
      </x:c>
      <x:c r="E501" s="19" t="str">
        <x:v>功能通道数</x:v>
      </x:c>
      <x:c r="F501" s="19" t="str">
        <x:v>可能为阵列/多通道die，非精确封装颗数</x:v>
      </x:c>
    </x:row>
    <x:row r="502" ht="15" hidden="0" customHeight="1">
      <x:c r="A502" s="19" t="str">
        <x:v>800-O112-2LR4-8E8O-EML</x:v>
      </x:c>
      <x:c r="B502" s="19" t="str">
        <x:v>C021</x:v>
      </x:c>
      <x:c r="C502" s="19" t="n">
        <x:v>8</x:v>
      </x:c>
      <x:c r="D502" s="19" t="str">
        <x:v>必需</x:v>
      </x:c>
      <x:c r="E502" s="19" t="str">
        <x:v>光通道</x:v>
      </x:c>
      <x:c r="F502" s="19" t="str">
        <x:v>可为阵列/多通道封装</x:v>
      </x:c>
    </x:row>
    <x:row r="503" ht="15" hidden="0" customHeight="1">
      <x:c r="A503" s="19" t="str">
        <x:v>800-O112-2LR4-8E8O-EML</x:v>
      </x:c>
      <x:c r="B503" s="19" t="str">
        <x:v>C022</x:v>
      </x:c>
      <x:c r="C503" s="19" t="n">
        <x:v>8</x:v>
      </x:c>
      <x:c r="D503" s="19" t="str">
        <x:v>内嵌</x:v>
      </x:c>
      <x:c r="E503" s="19" t="str">
        <x:v>微结构</x:v>
      </x:c>
      <x:c r="F503" s="19" t="str">
        <x:v>DFB/DBR波长选择结构</x:v>
      </x:c>
    </x:row>
    <x:row r="504" ht="15" hidden="0" customHeight="1">
      <x:c r="A504" s="19" t="str">
        <x:v>800-O112-2LR4-8E8O-EML</x:v>
      </x:c>
      <x:c r="B504" s="19" t="str">
        <x:v>C067</x:v>
      </x:c>
      <x:c r="C504" s="19" t="n">
        <x:v>8</x:v>
      </x:c>
      <x:c r="D504" s="19" t="str">
        <x:v>内嵌</x:v>
      </x:c>
      <x:c r="E504" s="19" t="str">
        <x:v>微结构</x:v>
      </x:c>
      <x:c r="F504" s="19" t="str">
        <x:v>EML内部EAM调制区</x:v>
      </x:c>
    </x:row>
    <x:row r="505" ht="15" hidden="0" customHeight="1">
      <x:c r="A505" s="19" t="str">
        <x:v>800-O112-2LR4-8E8O-EML</x:v>
      </x:c>
      <x:c r="B505" s="19" t="str">
        <x:v>C068</x:v>
      </x:c>
      <x:c r="C505" s="19" t="n">
        <x:v>8</x:v>
      </x:c>
      <x:c r="D505" s="19" t="str">
        <x:v>内嵌</x:v>
      </x:c>
      <x:c r="E505" s="19" t="str">
        <x:v>微结构</x:v>
      </x:c>
      <x:c r="F505" s="19" t="str">
        <x:v>激光器/调制器量子阱有源区</x:v>
      </x:c>
    </x:row>
    <x:row r="506" ht="15" hidden="0" customHeight="1">
      <x:c r="A506" s="19" t="str">
        <x:v>800-O112-2LR4-8E8O-EML</x:v>
      </x:c>
      <x:c r="B506" s="19" t="str">
        <x:v>C069</x:v>
      </x:c>
      <x:c r="C506" s="19" t="n">
        <x:v>8</x:v>
      </x:c>
      <x:c r="D506" s="19" t="str">
        <x:v>内嵌</x:v>
      </x:c>
      <x:c r="E506" s="19" t="str">
        <x:v>工艺</x:v>
      </x:c>
      <x:c r="F506" s="19" t="str">
        <x:v>端面AR/HR膜</x:v>
      </x:c>
    </x:row>
    <x:row r="507" ht="15" hidden="0" customHeight="1">
      <x:c r="A507" s="19" t="str">
        <x:v>800-O112-2LR4-8E8O-EML</x:v>
      </x:c>
      <x:c r="B507" s="19" t="str">
        <x:v>C061</x:v>
      </x:c>
      <x:c r="C507" s="19" t="n">
        <x:v>1</x:v>
      </x:c>
      <x:c r="D507" s="19" t="str">
        <x:v>必需</x:v>
      </x:c>
      <x:c r="E507" s="19" t="str">
        <x:v>封装</x:v>
      </x:c>
      <x:c r="F507" s="19" t="str">
        <x:v>EML/PD阵列承载</x:v>
      </x:c>
    </x:row>
    <x:row r="508" ht="15" hidden="0" customHeight="1">
      <x:c r="A508" s="19" t="str">
        <x:v>800-O112-2LR4-8E8O-EML</x:v>
      </x:c>
      <x:c r="B508" s="19" t="str">
        <x:v>C031</x:v>
      </x:c>
      <x:c r="C508" s="19" t="n">
        <x:v>8</x:v>
      </x:c>
      <x:c r="D508" s="19" t="str">
        <x:v>必需</x:v>
      </x:c>
      <x:c r="E508" s="19" t="str">
        <x:v>光通道</x:v>
      </x:c>
      <x:c r="F508" s="19" t="str">
        <x:v>InGaAs PIN</x:v>
      </x:c>
    </x:row>
    <x:row r="509" ht="15" hidden="0" customHeight="1">
      <x:c r="A509" s="19" t="str">
        <x:v>800-O112-2LR4-8E8O-EML</x:v>
      </x:c>
      <x:c r="B509" s="19" t="str">
        <x:v>C049</x:v>
      </x:c>
      <x:c r="C509" s="19" t="n">
        <x:v>8</x:v>
      </x:c>
      <x:c r="D509" s="19" t="str">
        <x:v>必需</x:v>
      </x:c>
      <x:c r="E509" s="19" t="str">
        <x:v>光纤通道</x:v>
      </x:c>
      <x:c r="F509" s="19" t="str">
        <x:v>SMF</x:v>
      </x:c>
    </x:row>
    <x:row r="510" ht="15" hidden="0" customHeight="1">
      <x:c r="A510" s="19" t="str">
        <x:v>800-O112-2LR4-8E8O-EML</x:v>
      </x:c>
      <x:c r="B510" s="19" t="str">
        <x:v>C034</x:v>
      </x:c>
      <x:c r="C510" s="19" t="n">
        <x:v>2</x:v>
      </x:c>
      <x:c r="D510" s="19" t="str">
        <x:v>必需</x:v>
      </x:c>
      <x:c r="E510" s="19" t="str">
        <x:v>端口/波分组</x:v>
      </x:c>
      <x:c r="F510" s="19" t="str">
        <x:v>2组4λ CWDM</x:v>
      </x:c>
    </x:row>
    <x:row r="511" ht="15" hidden="0" customHeight="1">
      <x:c r="A511" s="19" t="str">
        <x:v>800-O112-2LR4-8E8O-EML</x:v>
      </x:c>
      <x:c r="B511" s="19" t="str">
        <x:v>C035</x:v>
      </x:c>
      <x:c r="C511" s="19" t="n">
        <x:v>2</x:v>
      </x:c>
      <x:c r="D511" s="19" t="str">
        <x:v>实现选项</x:v>
      </x:c>
      <x:c r="E511" s="19" t="str">
        <x:v>微结构</x:v>
      </x:c>
      <x:c r="F511" s="19" t="str">
        <x:v>AWG为MUX/DEMUX的一种实现</x:v>
      </x:c>
    </x:row>
    <x:row r="512" ht="15" hidden="0" customHeight="1">
      <x:c r="A512" s="19" t="str">
        <x:v>800-O112-2LR4-8E8O-EML</x:v>
      </x:c>
      <x:c r="B512" s="19" t="str">
        <x:v>C036</x:v>
      </x:c>
      <x:c r="C512" s="19" t="n">
        <x:v>2</x:v>
      </x:c>
      <x:c r="D512" s="19" t="str">
        <x:v>实现选项</x:v>
      </x:c>
      <x:c r="E512" s="19" t="str">
        <x:v>微结构</x:v>
      </x:c>
      <x:c r="F512" s="19" t="str">
        <x:v>TFF为MUX/DEMUX的另一种实现</x:v>
      </x:c>
    </x:row>
    <x:row r="513" ht="15" hidden="0" customHeight="1">
      <x:c r="A513" s="19" t="str">
        <x:v>800-O112-2LR4-8E8O-EML</x:v>
      </x:c>
      <x:c r="B513" s="19" t="str">
        <x:v>C037</x:v>
      </x:c>
      <x:c r="C513" s="19" t="n">
        <x:v>8</x:v>
      </x:c>
      <x:c r="D513" s="19" t="str">
        <x:v>按实现</x:v>
      </x:c>
      <x:c r="E513" s="19" t="str">
        <x:v>光通道</x:v>
      </x:c>
      <x:c r="F513" s="19" t="str">
        <x:v>自由空间/阵列耦合时使用</x:v>
      </x:c>
    </x:row>
    <x:row r="514" ht="15" hidden="0" customHeight="1">
      <x:c r="A514" s="19" t="str">
        <x:v>800-O112-2LR4-8E8O-EML</x:v>
      </x:c>
      <x:c r="B514" s="19" t="str">
        <x:v>C038</x:v>
      </x:c>
      <x:c r="C514" s="19" t="n">
        <x:v>8</x:v>
      </x:c>
      <x:c r="D514" s="19" t="str">
        <x:v>按实现</x:v>
      </x:c>
      <x:c r="E514" s="19" t="str">
        <x:v>光通道</x:v>
      </x:c>
      <x:c r="F514" s="19" t="str">
        <x:v>FAU可能按阵列封装，不等于单根数量</x:v>
      </x:c>
    </x:row>
    <x:row r="515" ht="15" hidden="0" customHeight="1">
      <x:c r="A515" s="19" t="str">
        <x:v>800-O112-2LR4-8E8O-EML</x:v>
      </x:c>
      <x:c r="B515" s="19" t="str">
        <x:v>C047</x:v>
      </x:c>
      <x:c r="C515" s="19" t="n">
        <x:v>2</x:v>
      </x:c>
      <x:c r="D515" s="19" t="str">
        <x:v>必需</x:v>
      </x:c>
      <x:c r="E515" s="19" t="str">
        <x:v>连接器级</x:v>
      </x:c>
      <x:c r="F515" s="19" t="str">
        <x:v>Dual LC</x:v>
      </x:c>
    </x:row>
    <x:row r="516" ht="15" hidden="0" customHeight="1">
      <x:c r="A516" s="19" t="str">
        <x:v>800-O112-2LR4-8E8O-EML</x:v>
      </x:c>
      <x:c r="B516" s="19" t="str">
        <x:v>C053</x:v>
      </x:c>
      <x:c r="C516" s="19" t="n">
        <x:v>1</x:v>
      </x:c>
      <x:c r="D516" s="19" t="str">
        <x:v>必需</x:v>
      </x:c>
      <x:c r="E516" s="19" t="str">
        <x:v>热管理</x:v>
      </x:c>
      <x:c r="F516" s="19" t="str">
        <x:v>TIM</x:v>
      </x:c>
    </x:row>
    <x:row r="517" ht="15" hidden="0" customHeight="1">
      <x:c r="A517" s="19" t="str">
        <x:v>800-O112-2LR4-8E8O-EML</x:v>
      </x:c>
      <x:c r="B517" s="19" t="str">
        <x:v>C054</x:v>
      </x:c>
      <x:c r="C517" s="19" t="n">
        <x:v>1</x:v>
      </x:c>
      <x:c r="D517" s="19" t="str">
        <x:v>按实现</x:v>
      </x:c>
      <x:c r="E517" s="19" t="str">
        <x:v>封装</x:v>
      </x:c>
      <x:c r="F517" s="19" t="str">
        <x:v>光学胶/底填</x:v>
      </x:c>
    </x:row>
    <x:row r="518" ht="15" hidden="0" customHeight="1">
      <x:c r="A518" s="19" t="str">
        <x:v>800-O112-DR4-8E4O-dEML</x:v>
      </x:c>
      <x:c r="B518" s="19" t="str">
        <x:v>C001</x:v>
      </x:c>
      <x:c r="C518" s="19" t="n">
        <x:v>1</x:v>
      </x:c>
      <x:c r="D518" s="19" t="str">
        <x:v>必需</x:v>
      </x:c>
      <x:c r="E518" s="19" t="str">
        <x:v>形态级</x:v>
      </x:c>
      <x:c r="F518" s="19" t="str">
        <x:v>OSFP112</x:v>
      </x:c>
    </x:row>
    <x:row r="519" ht="15" hidden="0" customHeight="1">
      <x:c r="A519" s="19" t="str">
        <x:v>800-O112-DR4-8E4O-dEML</x:v>
      </x:c>
      <x:c r="B519" s="19" t="str">
        <x:v>C002</x:v>
      </x:c>
      <x:c r="C519" s="19" t="n">
        <x:v>1</x:v>
      </x:c>
      <x:c r="D519" s="19" t="str">
        <x:v>必需</x:v>
      </x:c>
      <x:c r="E519" s="19" t="str">
        <x:v>形态级</x:v>
      </x:c>
      <x:c r="F519" s="19" t="str">
        <x:v>散热能力需按功耗校核</x:v>
      </x:c>
    </x:row>
    <x:row r="520" ht="15" hidden="0" customHeight="1">
      <x:c r="A520" s="19" t="str">
        <x:v>800-O112-DR4-8E4O-dEML</x:v>
      </x:c>
      <x:c r="B520" s="19" t="str">
        <x:v>C003</x:v>
      </x:c>
      <x:c r="C520" s="19" t="n">
        <x:v>1</x:v>
      </x:c>
      <x:c r="D520" s="19" t="str">
        <x:v>必需</x:v>
      </x:c>
      <x:c r="E520" s="19" t="str">
        <x:v>形态级</x:v>
      </x:c>
      <x:c r="F520" s="19" t="str">
        <x:v>CPO无传统前面板模块拉环</x:v>
      </x:c>
    </x:row>
    <x:row r="521" ht="15" hidden="0" customHeight="1">
      <x:c r="A521" s="19" t="str">
        <x:v>800-O112-DR4-8E4O-dEML</x:v>
      </x:c>
      <x:c r="B521" s="19" t="str">
        <x:v>C004</x:v>
      </x:c>
      <x:c r="C521" s="19" t="n">
        <x:v>1</x:v>
      </x:c>
      <x:c r="D521" s="19" t="str">
        <x:v>必需</x:v>
      </x:c>
      <x:c r="E521" s="19" t="str">
        <x:v>代表性</x:v>
      </x:c>
      <x:c r="F521" s="19" t="str">
        <x:v>EMI屏蔽结构依外壳设计</x:v>
      </x:c>
    </x:row>
    <x:row r="522" ht="15" hidden="0" customHeight="1">
      <x:c r="A522" s="19" t="str">
        <x:v>800-O112-DR4-8E4O-dEML</x:v>
      </x:c>
      <x:c r="B522" s="19" t="str">
        <x:v>C005</x:v>
      </x:c>
      <x:c r="C522" s="19" t="n">
        <x:v>1</x:v>
      </x:c>
      <x:c r="D522" s="19" t="str">
        <x:v>必需</x:v>
      </x:c>
      <x:c r="E522" s="19" t="str">
        <x:v>代表性</x:v>
      </x:c>
      <x:c r="F522" s="19" t="str">
        <x:v>CPO可采用封装基板+系统PCB</x:v>
      </x:c>
    </x:row>
    <x:row r="523" ht="15" hidden="0" customHeight="1">
      <x:c r="A523" s="19" t="str">
        <x:v>800-O112-DR4-8E4O-dEML</x:v>
      </x:c>
      <x:c r="B523" s="19" t="str">
        <x:v>C056</x:v>
      </x:c>
      <x:c r="C523" s="19" t="n">
        <x:v>1</x:v>
      </x:c>
      <x:c r="D523" s="19" t="str">
        <x:v>必需</x:v>
      </x:c>
      <x:c r="E523" s="19" t="str">
        <x:v>形态级</x:v>
      </x:c>
      <x:c r="F523" s="19" t="str">
        <x:v>可插拔模块主机侧金手指/电连接器</x:v>
      </x:c>
    </x:row>
    <x:row r="524" ht="15" hidden="0" customHeight="1">
      <x:c r="A524" s="19" t="str">
        <x:v>800-O112-DR4-8E4O-dEML</x:v>
      </x:c>
      <x:c r="B524" s="19" t="str">
        <x:v>C057</x:v>
      </x:c>
      <x:c r="C524" s="19" t="n">
        <x:v>1</x:v>
      </x:c>
      <x:c r="D524" s="19" t="str">
        <x:v>系统配套</x:v>
      </x:c>
      <x:c r="E524" s="19" t="str">
        <x:v>系统级</x:v>
      </x:c>
      <x:c r="F524" s="19" t="str">
        <x:v>cage不属于模块内采购BOM</x:v>
      </x:c>
    </x:row>
    <x:row r="525" ht="15" hidden="0" customHeight="1">
      <x:c r="A525" s="19" t="str">
        <x:v>800-O112-DR4-8E4O-dEML</x:v>
      </x:c>
      <x:c r="B525" s="19" t="str">
        <x:v>C007</x:v>
      </x:c>
      <x:c r="C525" s="19" t="n">
        <x:v>1</x:v>
      </x:c>
      <x:c r="D525" s="19" t="str">
        <x:v>必需</x:v>
      </x:c>
      <x:c r="E525" s="19" t="str">
        <x:v>代表性</x:v>
      </x:c>
      <x:c r="F525" s="19" t="str">
        <x:v>光引擎承载基板/Interposer</x:v>
      </x:c>
    </x:row>
    <x:row r="526" ht="15" hidden="0" customHeight="1">
      <x:c r="A526" s="19" t="str">
        <x:v>800-O112-DR4-8E4O-dEML</x:v>
      </x:c>
      <x:c r="B526" s="19" t="str">
        <x:v>C008</x:v>
      </x:c>
      <x:c r="C526" s="19" t="n">
        <x:v>1</x:v>
      </x:c>
      <x:c r="D526" s="19" t="str">
        <x:v>必需</x:v>
      </x:c>
      <x:c r="E526" s="19" t="str">
        <x:v>代表性</x:v>
      </x:c>
      <x:c r="F526" s="19" t="str">
        <x:v>数量按功耗域，不等于精确颗数</x:v>
      </x:c>
    </x:row>
    <x:row r="527" ht="15" hidden="0" customHeight="1">
      <x:c r="A527" s="19" t="str">
        <x:v>800-O112-DR4-8E4O-dEML</x:v>
      </x:c>
      <x:c r="B527" s="19" t="str">
        <x:v>C009</x:v>
      </x:c>
      <x:c r="C527" s="19" t="n">
        <x:v>1</x:v>
      </x:c>
      <x:c r="D527" s="19" t="str">
        <x:v>必需</x:v>
      </x:c>
      <x:c r="E527" s="19" t="str">
        <x:v>管理接口</x:v>
      </x:c>
      <x:c r="F527" s="19" t="str">
        <x:v>可插拔模块使用CMIS管理</x:v>
      </x:c>
    </x:row>
    <x:row r="528" ht="15" hidden="0" customHeight="1">
      <x:c r="A528" s="19" t="str">
        <x:v>800-O112-DR4-8E4O-dEML</x:v>
      </x:c>
      <x:c r="B528" s="19" t="str">
        <x:v>C010</x:v>
      </x:c>
      <x:c r="C528" s="19" t="n">
        <x:v>1</x:v>
      </x:c>
      <x:c r="D528" s="19" t="str">
        <x:v>按实现</x:v>
      </x:c>
      <x:c r="E528" s="19" t="str">
        <x:v>代表性</x:v>
      </x:c>
      <x:c r="F528" s="19" t="str">
        <x:v>模块控制与校准</x:v>
      </x:c>
    </x:row>
    <x:row r="529" ht="15" hidden="0" customHeight="1">
      <x:c r="A529" s="19" t="str">
        <x:v>800-O112-DR4-8E4O-dEML</x:v>
      </x:c>
      <x:c r="B529" s="19" t="str">
        <x:v>C058</x:v>
      </x:c>
      <x:c r="C529" s="19" t="n">
        <x:v>1</x:v>
      </x:c>
      <x:c r="D529" s="19" t="str">
        <x:v>按实现</x:v>
      </x:c>
      <x:c r="E529" s="19" t="str">
        <x:v>时钟架构</x:v>
      </x:c>
      <x:c r="F529" s="19" t="str">
        <x:v>可由主机提供REFCLK或使用模块内时钟器件</x:v>
      </x:c>
    </x:row>
    <x:row r="530" ht="15" hidden="0" customHeight="1">
      <x:c r="A530" s="19" t="str">
        <x:v>800-O112-DR4-8E4O-dEML</x:v>
      </x:c>
      <x:c r="B530" s="19" t="str">
        <x:v>C059</x:v>
      </x:c>
      <x:c r="C530" s="19" t="n">
        <x:v>1</x:v>
      </x:c>
      <x:c r="D530" s="19" t="str">
        <x:v>必需/可集成</x:v>
      </x:c>
      <x:c r="E530" s="19" t="str">
        <x:v>监控功能</x:v>
      </x:c>
      <x:c r="F530" s="19" t="str">
        <x:v>CMIS/控制系统温度监测</x:v>
      </x:c>
    </x:row>
    <x:row r="531" ht="15" hidden="0" customHeight="1">
      <x:c r="A531" s="19" t="str">
        <x:v>800-O112-DR4-8E4O-dEML</x:v>
      </x:c>
      <x:c r="B531" s="19" t="str">
        <x:v>C060</x:v>
      </x:c>
      <x:c r="C531" s="19" t="n">
        <x:v>1</x:v>
      </x:c>
      <x:c r="D531" s="19" t="str">
        <x:v>必需</x:v>
      </x:c>
      <x:c r="E531" s="19" t="str">
        <x:v>器件组</x:v>
      </x:c>
      <x:c r="F531" s="19" t="str">
        <x:v>R/C/L数量不按lane数表示</x:v>
      </x:c>
    </x:row>
    <x:row r="532" ht="15" hidden="0" customHeight="1">
      <x:c r="A532" s="19" t="str">
        <x:v>800-O112-DR4-8E4O-dEML</x:v>
      </x:c>
      <x:c r="B532" s="19" t="str">
        <x:v>C062</x:v>
      </x:c>
      <x:c r="C532" s="19" t="n">
        <x:v>1</x:v>
      </x:c>
      <x:c r="D532" s="19" t="str">
        <x:v>按封装</x:v>
      </x:c>
      <x:c r="E532" s="19" t="str">
        <x:v>互连工艺</x:v>
      </x:c>
      <x:c r="F532" s="19" t="str">
        <x:v>flip-chip平台使用</x:v>
      </x:c>
    </x:row>
    <x:row r="533" ht="15" hidden="0" customHeight="1">
      <x:c r="A533" s="19" t="str">
        <x:v>800-O112-DR4-8E4O-dEML</x:v>
      </x:c>
      <x:c r="B533" s="19" t="str">
        <x:v>C063</x:v>
      </x:c>
      <x:c r="C533" s="19" t="n">
        <x:v>1</x:v>
      </x:c>
      <x:c r="D533" s="19" t="str">
        <x:v>按封装</x:v>
      </x:c>
      <x:c r="E533" s="19" t="str">
        <x:v>互连工艺</x:v>
      </x:c>
      <x:c r="F533" s="19" t="str">
        <x:v>wire/ribbon bond平台使用</x:v>
      </x:c>
    </x:row>
    <x:row r="534" ht="15" hidden="0" customHeight="1">
      <x:c r="A534" s="19" t="str">
        <x:v>800-O112-DR4-8E4O-dEML</x:v>
      </x:c>
      <x:c r="B534" s="19" t="str">
        <x:v>C011</x:v>
      </x:c>
      <x:c r="C534" s="19" t="n">
        <x:v>1</x:v>
      </x:c>
      <x:c r="D534" s="19" t="str">
        <x:v>必需</x:v>
      </x:c>
      <x:c r="E534" s="19" t="str">
        <x:v>架构级</x:v>
      </x:c>
      <x:c r="F534" s="19" t="str">
        <x:v>含DSP/Gearbox</x:v>
      </x:c>
    </x:row>
    <x:row r="535" ht="15" hidden="0" customHeight="1">
      <x:c r="A535" s="19" t="str">
        <x:v>800-O112-DR4-8E4O-dEML</x:v>
      </x:c>
      <x:c r="B535" s="19" t="str">
        <x:v>C012</x:v>
      </x:c>
      <x:c r="C535" s="19" t="n">
        <x:v>1</x:v>
      </x:c>
      <x:c r="D535" s="19" t="str">
        <x:v>必需</x:v>
      </x:c>
      <x:c r="E535" s="19" t="str">
        <x:v>通道级</x:v>
      </x:c>
      <x:c r="F535" s="19" t="str">
        <x:v>8×100G→4×200G</x:v>
      </x:c>
    </x:row>
    <x:row r="536" ht="15" hidden="0" customHeight="1">
      <x:c r="A536" s="19" t="str">
        <x:v>800-O112-DR4-8E4O-dEML</x:v>
      </x:c>
      <x:c r="B536" s="19" t="str">
        <x:v>C014</x:v>
      </x:c>
      <x:c r="C536" s="19" t="n">
        <x:v>4</x:v>
      </x:c>
      <x:c r="D536" s="19" t="str">
        <x:v>必需</x:v>
      </x:c>
      <x:c r="E536" s="19" t="str">
        <x:v>功能通道数</x:v>
      </x:c>
      <x:c r="F536" s="19" t="str">
        <x:v>可能为阵列/多通道die，非精确封装颗数</x:v>
      </x:c>
    </x:row>
    <x:row r="537" ht="15" hidden="0" customHeight="1">
      <x:c r="A537" s="19" t="str">
        <x:v>800-O112-DR4-8E4O-dEML</x:v>
      </x:c>
      <x:c r="B537" s="19" t="str">
        <x:v>C015</x:v>
      </x:c>
      <x:c r="C537" s="19" t="n">
        <x:v>4</x:v>
      </x:c>
      <x:c r="D537" s="19" t="str">
        <x:v>必需</x:v>
      </x:c>
      <x:c r="E537" s="19" t="str">
        <x:v>功能通道数</x:v>
      </x:c>
      <x:c r="F537" s="19" t="str">
        <x:v>可能为阵列/多通道die，非精确封装颗数</x:v>
      </x:c>
    </x:row>
    <x:row r="538" ht="15" hidden="0" customHeight="1">
      <x:c r="A538" s="19" t="str">
        <x:v>800-O112-DR4-8E4O-dEML</x:v>
      </x:c>
      <x:c r="B538" s="19" t="str">
        <x:v>C021</x:v>
      </x:c>
      <x:c r="C538" s="19" t="n">
        <x:v>4</x:v>
      </x:c>
      <x:c r="D538" s="19" t="str">
        <x:v>必需</x:v>
      </x:c>
      <x:c r="E538" s="19" t="str">
        <x:v>光通道</x:v>
      </x:c>
      <x:c r="F538" s="19" t="str">
        <x:v>可为阵列/多通道封装</x:v>
      </x:c>
    </x:row>
    <x:row r="539" ht="15" hidden="0" customHeight="1">
      <x:c r="A539" s="19" t="str">
        <x:v>800-O112-DR4-8E4O-dEML</x:v>
      </x:c>
      <x:c r="B539" s="19" t="str">
        <x:v>C022</x:v>
      </x:c>
      <x:c r="C539" s="19" t="n">
        <x:v>4</x:v>
      </x:c>
      <x:c r="D539" s="19" t="str">
        <x:v>内嵌</x:v>
      </x:c>
      <x:c r="E539" s="19" t="str">
        <x:v>微结构</x:v>
      </x:c>
      <x:c r="F539" s="19" t="str">
        <x:v>DFB/DBR波长选择结构</x:v>
      </x:c>
    </x:row>
    <x:row r="540" ht="15" hidden="0" customHeight="1">
      <x:c r="A540" s="19" t="str">
        <x:v>800-O112-DR4-8E4O-dEML</x:v>
      </x:c>
      <x:c r="B540" s="19" t="str">
        <x:v>C067</x:v>
      </x:c>
      <x:c r="C540" s="19" t="n">
        <x:v>4</x:v>
      </x:c>
      <x:c r="D540" s="19" t="str">
        <x:v>内嵌</x:v>
      </x:c>
      <x:c r="E540" s="19" t="str">
        <x:v>微结构</x:v>
      </x:c>
      <x:c r="F540" s="19" t="str">
        <x:v>EML内部EAM调制区</x:v>
      </x:c>
    </x:row>
    <x:row r="541" ht="15" hidden="0" customHeight="1">
      <x:c r="A541" s="19" t="str">
        <x:v>800-O112-DR4-8E4O-dEML</x:v>
      </x:c>
      <x:c r="B541" s="19" t="str">
        <x:v>C068</x:v>
      </x:c>
      <x:c r="C541" s="19" t="n">
        <x:v>4</x:v>
      </x:c>
      <x:c r="D541" s="19" t="str">
        <x:v>内嵌</x:v>
      </x:c>
      <x:c r="E541" s="19" t="str">
        <x:v>微结构</x:v>
      </x:c>
      <x:c r="F541" s="19" t="str">
        <x:v>激光器/调制器量子阱有源区</x:v>
      </x:c>
    </x:row>
    <x:row r="542" ht="15" hidden="0" customHeight="1">
      <x:c r="A542" s="19" t="str">
        <x:v>800-O112-DR4-8E4O-dEML</x:v>
      </x:c>
      <x:c r="B542" s="19" t="str">
        <x:v>C069</x:v>
      </x:c>
      <x:c r="C542" s="19" t="n">
        <x:v>4</x:v>
      </x:c>
      <x:c r="D542" s="19" t="str">
        <x:v>内嵌</x:v>
      </x:c>
      <x:c r="E542" s="19" t="str">
        <x:v>工艺</x:v>
      </x:c>
      <x:c r="F542" s="19" t="str">
        <x:v>端面AR/HR膜</x:v>
      </x:c>
    </x:row>
    <x:row r="543" ht="15" hidden="0" customHeight="1">
      <x:c r="A543" s="19" t="str">
        <x:v>800-O112-DR4-8E4O-dEML</x:v>
      </x:c>
      <x:c r="B543" s="19" t="str">
        <x:v>C061</x:v>
      </x:c>
      <x:c r="C543" s="19" t="n">
        <x:v>1</x:v>
      </x:c>
      <x:c r="D543" s="19" t="str">
        <x:v>必需</x:v>
      </x:c>
      <x:c r="E543" s="19" t="str">
        <x:v>封装</x:v>
      </x:c>
      <x:c r="F543" s="19" t="str">
        <x:v>EML/PD阵列承载</x:v>
      </x:c>
    </x:row>
    <x:row r="544" ht="15" hidden="0" customHeight="1">
      <x:c r="A544" s="19" t="str">
        <x:v>800-O112-DR4-8E4O-dEML</x:v>
      </x:c>
      <x:c r="B544" s="19" t="str">
        <x:v>C031</x:v>
      </x:c>
      <x:c r="C544" s="19" t="n">
        <x:v>4</x:v>
      </x:c>
      <x:c r="D544" s="19" t="str">
        <x:v>必需</x:v>
      </x:c>
      <x:c r="E544" s="19" t="str">
        <x:v>光通道</x:v>
      </x:c>
      <x:c r="F544" s="19" t="str">
        <x:v>InGaAs PIN</x:v>
      </x:c>
    </x:row>
    <x:row r="545" ht="15" hidden="0" customHeight="1">
      <x:c r="A545" s="19" t="str">
        <x:v>800-O112-DR4-8E4O-dEML</x:v>
      </x:c>
      <x:c r="B545" s="19" t="str">
        <x:v>C049</x:v>
      </x:c>
      <x:c r="C545" s="19" t="n">
        <x:v>4</x:v>
      </x:c>
      <x:c r="D545" s="19" t="str">
        <x:v>必需</x:v>
      </x:c>
      <x:c r="E545" s="19" t="str">
        <x:v>光纤通道</x:v>
      </x:c>
      <x:c r="F545" s="19" t="str">
        <x:v>PSM SMF</x:v>
      </x:c>
    </x:row>
    <x:row r="546" ht="15" hidden="0" customHeight="1">
      <x:c r="A546" s="19"/>
      <x:c r="B546" s="19"/>
      <x:c r="C546" s="19"/>
      <x:c r="D546" s="19"/>
      <x:c r="E546" s="19"/>
      <x:c r="F546" s="19"/>
    </x:row>
    <x:row r="547" ht="15" hidden="0" customHeight="1">
      <x:c r="A547" s="19"/>
      <x:c r="B547" s="19"/>
      <x:c r="C547" s="19"/>
      <x:c r="D547" s="19"/>
      <x:c r="E547" s="19"/>
      <x:c r="F547" s="19"/>
    </x:row>
    <x:row r="548" ht="15" hidden="0" customHeight="1">
      <x:c r="A548" s="19"/>
      <x:c r="B548" s="19"/>
      <x:c r="C548" s="19"/>
      <x:c r="D548" s="19"/>
      <x:c r="E548" s="19"/>
      <x:c r="F548" s="19"/>
    </x:row>
    <x:row r="549" ht="15" hidden="0" customHeight="1">
      <x:c r="A549" s="19" t="str">
        <x:v>800-O112-DR4-8E4O-dEML</x:v>
      </x:c>
      <x:c r="B549" s="19" t="str">
        <x:v>C037</x:v>
      </x:c>
      <x:c r="C549" s="19" t="n">
        <x:v>4</x:v>
      </x:c>
      <x:c r="D549" s="19" t="str">
        <x:v>按实现</x:v>
      </x:c>
      <x:c r="E549" s="19" t="str">
        <x:v>光通道</x:v>
      </x:c>
      <x:c r="F549" s="19" t="str">
        <x:v>自由空间/阵列耦合时使用</x:v>
      </x:c>
    </x:row>
    <x:row r="550" ht="15" hidden="0" customHeight="1">
      <x:c r="A550" s="19" t="str">
        <x:v>800-O112-DR4-8E4O-dEML</x:v>
      </x:c>
      <x:c r="B550" s="19" t="str">
        <x:v>C038</x:v>
      </x:c>
      <x:c r="C550" s="19" t="n">
        <x:v>4</x:v>
      </x:c>
      <x:c r="D550" s="19" t="str">
        <x:v>按实现</x:v>
      </x:c>
      <x:c r="E550" s="19" t="str">
        <x:v>光通道</x:v>
      </x:c>
      <x:c r="F550" s="19" t="str">
        <x:v>FAU可能按阵列封装，不等于单根数量</x:v>
      </x:c>
    </x:row>
    <x:row r="551" ht="15" hidden="0" customHeight="1">
      <x:c r="A551" s="19" t="str">
        <x:v>800-O112-DR4-8E4O-dEML</x:v>
      </x:c>
      <x:c r="B551" s="19" t="str">
        <x:v>C044</x:v>
      </x:c>
      <x:c r="C551" s="19" t="n">
        <x:v>1</x:v>
      </x:c>
      <x:c r="D551" s="19" t="str">
        <x:v>必需</x:v>
      </x:c>
      <x:c r="E551" s="19" t="str">
        <x:v>连接器级</x:v>
      </x:c>
      <x:c r="F551" s="19" t="str">
        <x:v>MPO12</x:v>
      </x:c>
    </x:row>
    <x:row r="552" ht="15" hidden="0" customHeight="1">
      <x:c r="A552" s="19" t="str">
        <x:v>800-O112-DR4-8E4O-dEML</x:v>
      </x:c>
      <x:c r="B552" s="19" t="str">
        <x:v>C045</x:v>
      </x:c>
      <x:c r="C552" s="19" t="n">
        <x:v>1</x:v>
      </x:c>
      <x:c r="D552" s="19" t="str">
        <x:v>内嵌</x:v>
      </x:c>
      <x:c r="E552" s="19" t="str">
        <x:v>连接器级</x:v>
      </x:c>
      <x:c r="F552" s="19" t="str">
        <x:v>MT插芯</x:v>
      </x:c>
    </x:row>
    <x:row r="553" ht="15" hidden="0" customHeight="1">
      <x:c r="A553" s="19" t="str">
        <x:v>800-O112-DR4-8E4O-dEML</x:v>
      </x:c>
      <x:c r="B553" s="19" t="str">
        <x:v>C046</x:v>
      </x:c>
      <x:c r="C553" s="19" t="n">
        <x:v>1</x:v>
      </x:c>
      <x:c r="D553" s="19" t="str">
        <x:v>内嵌</x:v>
      </x:c>
      <x:c r="E553" s="19" t="str">
        <x:v>连接器级</x:v>
      </x:c>
      <x:c r="F553" s="19" t="str">
        <x:v>导针与弹簧</x:v>
      </x:c>
    </x:row>
    <x:row r="554" ht="15" hidden="0" customHeight="1">
      <x:c r="A554" s="19" t="str">
        <x:v>800-O112-DR4-8E4O-dEML</x:v>
      </x:c>
      <x:c r="B554" s="19" t="str">
        <x:v>C053</x:v>
      </x:c>
      <x:c r="C554" s="19" t="n">
        <x:v>1</x:v>
      </x:c>
      <x:c r="D554" s="19" t="str">
        <x:v>必需</x:v>
      </x:c>
      <x:c r="E554" s="19" t="str">
        <x:v>热管理</x:v>
      </x:c>
      <x:c r="F554" s="19" t="str">
        <x:v>TIM</x:v>
      </x:c>
    </x:row>
    <x:row r="555" ht="15" hidden="0" customHeight="1">
      <x:c r="A555" s="19" t="str">
        <x:v>800-O112-DR4-8E4O-dEML</x:v>
      </x:c>
      <x:c r="B555" s="19" t="str">
        <x:v>C054</x:v>
      </x:c>
      <x:c r="C555" s="19" t="n">
        <x:v>1</x:v>
      </x:c>
      <x:c r="D555" s="19" t="str">
        <x:v>按实现</x:v>
      </x:c>
      <x:c r="E555" s="19" t="str">
        <x:v>封装</x:v>
      </x:c>
      <x:c r="F555" s="19" t="str">
        <x:v>光学胶/底填</x:v>
      </x:c>
    </x:row>
    <x:row r="556" ht="15" hidden="0" customHeight="1">
      <x:c r="A556" s="19" t="str">
        <x:v>800-O224-DR4-4E4O-EML-ILL</x:v>
      </x:c>
      <x:c r="B556" s="19" t="str">
        <x:v>C001</x:v>
      </x:c>
      <x:c r="C556" s="19" t="n">
        <x:v>1</x:v>
      </x:c>
      <x:c r="D556" s="19" t="str">
        <x:v>必需</x:v>
      </x:c>
      <x:c r="E556" s="19" t="str">
        <x:v>形态级</x:v>
      </x:c>
      <x:c r="F556" s="19" t="str">
        <x:v>OSFP224</x:v>
      </x:c>
    </x:row>
    <x:row r="557" ht="15" hidden="0" customHeight="1">
      <x:c r="A557" s="19" t="str">
        <x:v>800-O224-DR4-4E4O-EML-ILL</x:v>
      </x:c>
      <x:c r="B557" s="19" t="str">
        <x:v>C002</x:v>
      </x:c>
      <x:c r="C557" s="19" t="n">
        <x:v>1</x:v>
      </x:c>
      <x:c r="D557" s="19" t="str">
        <x:v>必需</x:v>
      </x:c>
      <x:c r="E557" s="19" t="str">
        <x:v>形态级</x:v>
      </x:c>
      <x:c r="F557" s="19" t="str">
        <x:v>散热能力需按功耗校核</x:v>
      </x:c>
    </x:row>
    <x:row r="558" ht="15" hidden="0" customHeight="1">
      <x:c r="A558" s="19" t="str">
        <x:v>800-O224-DR4-4E4O-EML-ILL</x:v>
      </x:c>
      <x:c r="B558" s="19" t="str">
        <x:v>C003</x:v>
      </x:c>
      <x:c r="C558" s="19" t="n">
        <x:v>1</x:v>
      </x:c>
      <x:c r="D558" s="19" t="str">
        <x:v>必需</x:v>
      </x:c>
      <x:c r="E558" s="19" t="str">
        <x:v>形态级</x:v>
      </x:c>
      <x:c r="F558" s="19" t="str">
        <x:v>CPO无传统前面板模块拉环</x:v>
      </x:c>
    </x:row>
    <x:row r="559" ht="15" hidden="0" customHeight="1">
      <x:c r="A559" s="19" t="str">
        <x:v>800-O224-DR4-4E4O-EML-ILL</x:v>
      </x:c>
      <x:c r="B559" s="19" t="str">
        <x:v>C004</x:v>
      </x:c>
      <x:c r="C559" s="19" t="n">
        <x:v>1</x:v>
      </x:c>
      <x:c r="D559" s="19" t="str">
        <x:v>必需</x:v>
      </x:c>
      <x:c r="E559" s="19" t="str">
        <x:v>代表性</x:v>
      </x:c>
      <x:c r="F559" s="19" t="str">
        <x:v>EMI屏蔽结构依外壳设计</x:v>
      </x:c>
    </x:row>
    <x:row r="560" ht="15" hidden="0" customHeight="1">
      <x:c r="A560" s="19" t="str">
        <x:v>800-O224-DR4-4E4O-EML-ILL</x:v>
      </x:c>
      <x:c r="B560" s="19" t="str">
        <x:v>C005</x:v>
      </x:c>
      <x:c r="C560" s="19" t="n">
        <x:v>1</x:v>
      </x:c>
      <x:c r="D560" s="19" t="str">
        <x:v>必需</x:v>
      </x:c>
      <x:c r="E560" s="19" t="str">
        <x:v>代表性</x:v>
      </x:c>
      <x:c r="F560" s="19" t="str">
        <x:v>CPO可采用封装基板+系统PCB</x:v>
      </x:c>
    </x:row>
    <x:row r="561" ht="15" hidden="0" customHeight="1">
      <x:c r="A561" s="19" t="str">
        <x:v>800-O224-DR4-4E4O-EML-ILL</x:v>
      </x:c>
      <x:c r="B561" s="19" t="str">
        <x:v>C056</x:v>
      </x:c>
      <x:c r="C561" s="19" t="n">
        <x:v>1</x:v>
      </x:c>
      <x:c r="D561" s="19" t="str">
        <x:v>必需</x:v>
      </x:c>
      <x:c r="E561" s="19" t="str">
        <x:v>形态级</x:v>
      </x:c>
      <x:c r="F561" s="19" t="str">
        <x:v>可插拔模块主机侧金手指/电连接器</x:v>
      </x:c>
    </x:row>
    <x:row r="562" ht="15" hidden="0" customHeight="1">
      <x:c r="A562" s="19" t="str">
        <x:v>800-O224-DR4-4E4O-EML-ILL</x:v>
      </x:c>
      <x:c r="B562" s="19" t="str">
        <x:v>C057</x:v>
      </x:c>
      <x:c r="C562" s="19" t="n">
        <x:v>1</x:v>
      </x:c>
      <x:c r="D562" s="19" t="str">
        <x:v>系统配套</x:v>
      </x:c>
      <x:c r="E562" s="19" t="str">
        <x:v>系统级</x:v>
      </x:c>
      <x:c r="F562" s="19" t="str">
        <x:v>cage不属于模块内采购BOM</x:v>
      </x:c>
    </x:row>
    <x:row r="563" ht="15" hidden="0" customHeight="1">
      <x:c r="A563" s="19" t="str">
        <x:v>800-O224-DR4-4E4O-EML-ILL</x:v>
      </x:c>
      <x:c r="B563" s="19" t="str">
        <x:v>C007</x:v>
      </x:c>
      <x:c r="C563" s="19" t="n">
        <x:v>1</x:v>
      </x:c>
      <x:c r="D563" s="19" t="str">
        <x:v>必需</x:v>
      </x:c>
      <x:c r="E563" s="19" t="str">
        <x:v>代表性</x:v>
      </x:c>
      <x:c r="F563" s="19" t="str">
        <x:v>光引擎承载基板/Interposer</x:v>
      </x:c>
    </x:row>
    <x:row r="564" ht="15" hidden="0" customHeight="1">
      <x:c r="A564" s="19" t="str">
        <x:v>800-O224-DR4-4E4O-EML-ILL</x:v>
      </x:c>
      <x:c r="B564" s="19" t="str">
        <x:v>C008</x:v>
      </x:c>
      <x:c r="C564" s="19" t="n">
        <x:v>1</x:v>
      </x:c>
      <x:c r="D564" s="19" t="str">
        <x:v>必需</x:v>
      </x:c>
      <x:c r="E564" s="19" t="str">
        <x:v>代表性</x:v>
      </x:c>
      <x:c r="F564" s="19" t="str">
        <x:v>数量按功耗域，不等于精确颗数</x:v>
      </x:c>
    </x:row>
    <x:row r="565" ht="15" hidden="0" customHeight="1">
      <x:c r="A565" s="19" t="str">
        <x:v>800-O224-DR4-4E4O-EML-ILL</x:v>
      </x:c>
      <x:c r="B565" s="19" t="str">
        <x:v>C009</x:v>
      </x:c>
      <x:c r="C565" s="19" t="n">
        <x:v>1</x:v>
      </x:c>
      <x:c r="D565" s="19" t="str">
        <x:v>必需</x:v>
      </x:c>
      <x:c r="E565" s="19" t="str">
        <x:v>管理接口</x:v>
      </x:c>
      <x:c r="F565" s="19" t="str">
        <x:v>可插拔模块使用CMIS管理</x:v>
      </x:c>
    </x:row>
    <x:row r="566" ht="15" hidden="0" customHeight="1">
      <x:c r="A566" s="19" t="str">
        <x:v>800-O224-DR4-4E4O-EML-ILL</x:v>
      </x:c>
      <x:c r="B566" s="19" t="str">
        <x:v>C010</x:v>
      </x:c>
      <x:c r="C566" s="19" t="n">
        <x:v>1</x:v>
      </x:c>
      <x:c r="D566" s="19" t="str">
        <x:v>按实现</x:v>
      </x:c>
      <x:c r="E566" s="19" t="str">
        <x:v>代表性</x:v>
      </x:c>
      <x:c r="F566" s="19" t="str">
        <x:v>模块控制与校准</x:v>
      </x:c>
    </x:row>
    <x:row r="567" ht="15" hidden="0" customHeight="1">
      <x:c r="A567" s="19" t="str">
        <x:v>800-O224-DR4-4E4O-EML-ILL</x:v>
      </x:c>
      <x:c r="B567" s="19" t="str">
        <x:v>C058</x:v>
      </x:c>
      <x:c r="C567" s="19" t="n">
        <x:v>1</x:v>
      </x:c>
      <x:c r="D567" s="19" t="str">
        <x:v>按实现</x:v>
      </x:c>
      <x:c r="E567" s="19" t="str">
        <x:v>时钟架构</x:v>
      </x:c>
      <x:c r="F567" s="19" t="str">
        <x:v>可由主机提供REFCLK或使用模块内时钟器件</x:v>
      </x:c>
    </x:row>
    <x:row r="568" ht="15" hidden="0" customHeight="1">
      <x:c r="A568" s="19" t="str">
        <x:v>800-O224-DR4-4E4O-EML-ILL</x:v>
      </x:c>
      <x:c r="B568" s="19" t="str">
        <x:v>C059</x:v>
      </x:c>
      <x:c r="C568" s="19" t="n">
        <x:v>1</x:v>
      </x:c>
      <x:c r="D568" s="19" t="str">
        <x:v>必需/可集成</x:v>
      </x:c>
      <x:c r="E568" s="19" t="str">
        <x:v>监控功能</x:v>
      </x:c>
      <x:c r="F568" s="19" t="str">
        <x:v>CMIS/控制系统温度监测</x:v>
      </x:c>
    </x:row>
    <x:row r="569" ht="15" hidden="0" customHeight="1">
      <x:c r="A569" s="19" t="str">
        <x:v>800-O224-DR4-4E4O-EML-ILL</x:v>
      </x:c>
      <x:c r="B569" s="19" t="str">
        <x:v>C060</x:v>
      </x:c>
      <x:c r="C569" s="19" t="n">
        <x:v>1</x:v>
      </x:c>
      <x:c r="D569" s="19" t="str">
        <x:v>必需</x:v>
      </x:c>
      <x:c r="E569" s="19" t="str">
        <x:v>器件组</x:v>
      </x:c>
      <x:c r="F569" s="19" t="str">
        <x:v>R/C/L数量不按lane数表示</x:v>
      </x:c>
    </x:row>
    <x:row r="570" ht="15" hidden="0" customHeight="1">
      <x:c r="A570" s="19" t="str">
        <x:v>800-O224-DR4-4E4O-EML-ILL</x:v>
      </x:c>
      <x:c r="B570" s="19" t="str">
        <x:v>C062</x:v>
      </x:c>
      <x:c r="C570" s="19" t="n">
        <x:v>1</x:v>
      </x:c>
      <x:c r="D570" s="19" t="str">
        <x:v>按封装</x:v>
      </x:c>
      <x:c r="E570" s="19" t="str">
        <x:v>互连工艺</x:v>
      </x:c>
      <x:c r="F570" s="19" t="str">
        <x:v>flip-chip平台使用</x:v>
      </x:c>
    </x:row>
    <x:row r="571" ht="15" hidden="0" customHeight="1">
      <x:c r="A571" s="19" t="str">
        <x:v>800-O224-DR4-4E4O-EML-ILL</x:v>
      </x:c>
      <x:c r="B571" s="19" t="str">
        <x:v>C063</x:v>
      </x:c>
      <x:c r="C571" s="19" t="n">
        <x:v>1</x:v>
      </x:c>
      <x:c r="D571" s="19" t="str">
        <x:v>按封装</x:v>
      </x:c>
      <x:c r="E571" s="19" t="str">
        <x:v>互连工艺</x:v>
      </x:c>
      <x:c r="F571" s="19" t="str">
        <x:v>wire/ribbon bond平台使用</x:v>
      </x:c>
    </x:row>
    <x:row r="572" ht="15" hidden="0" customHeight="1">
      <x:c r="A572" s="19" t="str">
        <x:v>800-O224-DR4-4E4O-EML-ILL</x:v>
      </x:c>
      <x:c r="B572" s="19" t="str">
        <x:v>C011</x:v>
      </x:c>
      <x:c r="C572" s="19" t="n">
        <x:v>1</x:v>
      </x:c>
      <x:c r="D572" s="19" t="str">
        <x:v>必需</x:v>
      </x:c>
      <x:c r="E572" s="19" t="str">
        <x:v>架构级</x:v>
      </x:c>
      <x:c r="F572" s="19" t="str">
        <x:v>含DSP</x:v>
      </x:c>
    </x:row>
    <x:row r="573" ht="15" hidden="0" customHeight="1">
      <x:c r="A573" s="19" t="str">
        <x:v>800-O224-DR4-4E4O-EML-ILL</x:v>
      </x:c>
      <x:c r="B573" s="19" t="str">
        <x:v>C014</x:v>
      </x:c>
      <x:c r="C573" s="19" t="n">
        <x:v>4</x:v>
      </x:c>
      <x:c r="D573" s="19" t="str">
        <x:v>必需</x:v>
      </x:c>
      <x:c r="E573" s="19" t="str">
        <x:v>功能通道数</x:v>
      </x:c>
      <x:c r="F573" s="19" t="str">
        <x:v>可能为阵列/多通道die，非精确封装颗数</x:v>
      </x:c>
    </x:row>
    <x:row r="574" ht="15" hidden="0" customHeight="1">
      <x:c r="A574" s="19" t="str">
        <x:v>800-O224-DR4-4E4O-EML-ILL</x:v>
      </x:c>
      <x:c r="B574" s="19" t="str">
        <x:v>C015</x:v>
      </x:c>
      <x:c r="C574" s="19" t="n">
        <x:v>4</x:v>
      </x:c>
      <x:c r="D574" s="19" t="str">
        <x:v>必需</x:v>
      </x:c>
      <x:c r="E574" s="19" t="str">
        <x:v>功能通道数</x:v>
      </x:c>
      <x:c r="F574" s="19" t="str">
        <x:v>可能为阵列/多通道die，非精确封装颗数</x:v>
      </x:c>
    </x:row>
    <x:row r="575" ht="15" hidden="0" customHeight="1">
      <x:c r="A575" s="19" t="str">
        <x:v>800-O224-DR4-4E4O-EML-ILL</x:v>
      </x:c>
      <x:c r="B575" s="19" t="str">
        <x:v>C021</x:v>
      </x:c>
      <x:c r="C575" s="19" t="n">
        <x:v>4</x:v>
      </x:c>
      <x:c r="D575" s="19" t="str">
        <x:v>必需</x:v>
      </x:c>
      <x:c r="E575" s="19" t="str">
        <x:v>光通道</x:v>
      </x:c>
      <x:c r="F575" s="19" t="str">
        <x:v>可为阵列/多通道封装</x:v>
      </x:c>
    </x:row>
    <x:row r="576" ht="15" hidden="0" customHeight="1">
      <x:c r="A576" s="19" t="str">
        <x:v>800-O224-DR4-4E4O-EML-ILL</x:v>
      </x:c>
      <x:c r="B576" s="19" t="str">
        <x:v>C022</x:v>
      </x:c>
      <x:c r="C576" s="19" t="n">
        <x:v>4</x:v>
      </x:c>
      <x:c r="D576" s="19" t="str">
        <x:v>内嵌</x:v>
      </x:c>
      <x:c r="E576" s="19" t="str">
        <x:v>微结构</x:v>
      </x:c>
      <x:c r="F576" s="19" t="str">
        <x:v>DFB/DBR波长选择结构</x:v>
      </x:c>
    </x:row>
    <x:row r="577" ht="15" hidden="0" customHeight="1">
      <x:c r="A577" s="19" t="str">
        <x:v>800-O224-DR4-4E4O-EML-ILL</x:v>
      </x:c>
      <x:c r="B577" s="19" t="str">
        <x:v>C067</x:v>
      </x:c>
      <x:c r="C577" s="19" t="n">
        <x:v>4</x:v>
      </x:c>
      <x:c r="D577" s="19" t="str">
        <x:v>内嵌</x:v>
      </x:c>
      <x:c r="E577" s="19" t="str">
        <x:v>微结构</x:v>
      </x:c>
      <x:c r="F577" s="19" t="str">
        <x:v>EML内部EAM调制区</x:v>
      </x:c>
    </x:row>
    <x:row r="578" ht="15" hidden="0" customHeight="1">
      <x:c r="A578" s="19" t="str">
        <x:v>800-O224-DR4-4E4O-EML-ILL</x:v>
      </x:c>
      <x:c r="B578" s="19" t="str">
        <x:v>C068</x:v>
      </x:c>
      <x:c r="C578" s="19" t="n">
        <x:v>4</x:v>
      </x:c>
      <x:c r="D578" s="19" t="str">
        <x:v>内嵌</x:v>
      </x:c>
      <x:c r="E578" s="19" t="str">
        <x:v>微结构</x:v>
      </x:c>
      <x:c r="F578" s="19" t="str">
        <x:v>激光器/调制器量子阱有源区</x:v>
      </x:c>
    </x:row>
    <x:row r="579" ht="15" hidden="0" customHeight="1">
      <x:c r="A579" s="19" t="str">
        <x:v>800-O224-DR4-4E4O-EML-ILL</x:v>
      </x:c>
      <x:c r="B579" s="19" t="str">
        <x:v>C069</x:v>
      </x:c>
      <x:c r="C579" s="19" t="n">
        <x:v>4</x:v>
      </x:c>
      <x:c r="D579" s="19" t="str">
        <x:v>内嵌</x:v>
      </x:c>
      <x:c r="E579" s="19" t="str">
        <x:v>工艺</x:v>
      </x:c>
      <x:c r="F579" s="19" t="str">
        <x:v>端面AR/HR膜</x:v>
      </x:c>
    </x:row>
    <x:row r="580" ht="15" hidden="0" customHeight="1">
      <x:c r="A580" s="19" t="str">
        <x:v>800-O224-DR4-4E4O-EML-ILL</x:v>
      </x:c>
      <x:c r="B580" s="19" t="str">
        <x:v>C061</x:v>
      </x:c>
      <x:c r="C580" s="19" t="n">
        <x:v>1</x:v>
      </x:c>
      <x:c r="D580" s="19" t="str">
        <x:v>必需</x:v>
      </x:c>
      <x:c r="E580" s="19" t="str">
        <x:v>封装</x:v>
      </x:c>
      <x:c r="F580" s="19" t="str">
        <x:v>EML/PD阵列承载</x:v>
      </x:c>
    </x:row>
    <x:row r="581" ht="15" hidden="0" customHeight="1">
      <x:c r="A581" s="19" t="str">
        <x:v>800-O224-DR4-4E4O-EML-ILL</x:v>
      </x:c>
      <x:c r="B581" s="19" t="str">
        <x:v>C031</x:v>
      </x:c>
      <x:c r="C581" s="19" t="n">
        <x:v>4</x:v>
      </x:c>
      <x:c r="D581" s="19" t="str">
        <x:v>必需</x:v>
      </x:c>
      <x:c r="E581" s="19" t="str">
        <x:v>光通道</x:v>
      </x:c>
      <x:c r="F581" s="19" t="str">
        <x:v>InGaAs PIN</x:v>
      </x:c>
    </x:row>
    <x:row r="582" ht="15" hidden="0" customHeight="1">
      <x:c r="A582" s="19" t="str">
        <x:v>800-O224-DR4-4E4O-EML-ILL</x:v>
      </x:c>
      <x:c r="B582" s="19" t="str">
        <x:v>C049</x:v>
      </x:c>
      <x:c r="C582" s="19" t="n">
        <x:v>4</x:v>
      </x:c>
      <x:c r="D582" s="19" t="str">
        <x:v>必需</x:v>
      </x:c>
      <x:c r="E582" s="19" t="str">
        <x:v>光纤通道</x:v>
      </x:c>
      <x:c r="F582" s="19" t="str">
        <x:v>SMF</x:v>
      </x:c>
    </x:row>
    <x:row r="583" ht="15" hidden="0" customHeight="1">
      <x:c r="A583" s="19" t="str">
        <x:v>800-O224-DR4-4E4O-EML-ILL</x:v>
      </x:c>
      <x:c r="B583" s="19" t="str">
        <x:v>C034</x:v>
      </x:c>
      <x:c r="C583" s="19" t="n">
        <x:v>1</x:v>
      </x:c>
      <x:c r="D583" s="19" t="str">
        <x:v>必需</x:v>
      </x:c>
      <x:c r="E583" s="19" t="str">
        <x:v>端口/波分组</x:v>
      </x:c>
      <x:c r="F583" s="19" t="str">
        <x:v>4λ CWDM，待核</x:v>
      </x:c>
    </x:row>
    <x:row r="584" ht="15" hidden="0" customHeight="1">
      <x:c r="A584" s="19" t="str">
        <x:v>800-O224-DR4-4E4O-EML-ILL</x:v>
      </x:c>
      <x:c r="B584" s="19" t="str">
        <x:v>C035</x:v>
      </x:c>
      <x:c r="C584" s="19" t="n">
        <x:v>1</x:v>
      </x:c>
      <x:c r="D584" s="19" t="str">
        <x:v>实现选项</x:v>
      </x:c>
      <x:c r="E584" s="19" t="str">
        <x:v>微结构</x:v>
      </x:c>
      <x:c r="F584" s="19" t="str">
        <x:v>AWG为MUX/DEMUX的一种实现</x:v>
      </x:c>
    </x:row>
    <x:row r="585" ht="15" hidden="0" customHeight="1">
      <x:c r="A585" s="19" t="str">
        <x:v>800-O224-DR4-4E4O-EML-ILL</x:v>
      </x:c>
      <x:c r="B585" s="19" t="str">
        <x:v>C036</x:v>
      </x:c>
      <x:c r="C585" s="19" t="n">
        <x:v>1</x:v>
      </x:c>
      <x:c r="D585" s="19" t="str">
        <x:v>实现选项</x:v>
      </x:c>
      <x:c r="E585" s="19" t="str">
        <x:v>微结构</x:v>
      </x:c>
      <x:c r="F585" s="19" t="str">
        <x:v>TFF为MUX/DEMUX的另一种实现</x:v>
      </x:c>
    </x:row>
    <x:row r="586" ht="15" hidden="0" customHeight="1">
      <x:c r="A586" s="19" t="str">
        <x:v>800-O224-DR4-4E4O-EML-ILL</x:v>
      </x:c>
      <x:c r="B586" s="19" t="str">
        <x:v>C037</x:v>
      </x:c>
      <x:c r="C586" s="19" t="n">
        <x:v>4</x:v>
      </x:c>
      <x:c r="D586" s="19" t="str">
        <x:v>按实现</x:v>
      </x:c>
      <x:c r="E586" s="19" t="str">
        <x:v>光通道</x:v>
      </x:c>
      <x:c r="F586" s="19" t="str">
        <x:v>自由空间/阵列耦合时使用</x:v>
      </x:c>
    </x:row>
    <x:row r="587" ht="15" hidden="0" customHeight="1">
      <x:c r="A587" s="19" t="str">
        <x:v>800-O224-DR4-4E4O-EML-ILL</x:v>
      </x:c>
      <x:c r="B587" s="19" t="str">
        <x:v>C038</x:v>
      </x:c>
      <x:c r="C587" s="19" t="n">
        <x:v>4</x:v>
      </x:c>
      <x:c r="D587" s="19" t="str">
        <x:v>按实现</x:v>
      </x:c>
      <x:c r="E587" s="19" t="str">
        <x:v>光通道</x:v>
      </x:c>
      <x:c r="F587" s="19" t="str">
        <x:v>FAU可能按阵列封装，不等于单根数量</x:v>
      </x:c>
    </x:row>
    <x:row r="588" ht="15" hidden="0" customHeight="1">
      <x:c r="A588" s="19" t="str">
        <x:v>800-O224-DR4-4E4O-EML-ILL</x:v>
      </x:c>
      <x:c r="B588" s="19" t="str">
        <x:v>C053</x:v>
      </x:c>
      <x:c r="C588" s="19" t="n">
        <x:v>1</x:v>
      </x:c>
      <x:c r="D588" s="19" t="str">
        <x:v>必需</x:v>
      </x:c>
      <x:c r="E588" s="19" t="str">
        <x:v>热管理</x:v>
      </x:c>
      <x:c r="F588" s="19" t="str">
        <x:v>TIM</x:v>
      </x:c>
    </x:row>
    <x:row r="589" ht="15" hidden="0" customHeight="1">
      <x:c r="A589" s="19" t="str">
        <x:v>800-O224-DR4-4E4O-EML-ILL</x:v>
      </x:c>
      <x:c r="B589" s="19" t="str">
        <x:v>C054</x:v>
      </x:c>
      <x:c r="C589" s="19" t="n">
        <x:v>1</x:v>
      </x:c>
      <x:c r="D589" s="19" t="str">
        <x:v>按实现</x:v>
      </x:c>
      <x:c r="E589" s="19" t="str">
        <x:v>封装</x:v>
      </x:c>
      <x:c r="F589" s="19" t="str">
        <x:v>光学胶/底填</x:v>
      </x:c>
    </x:row>
    <x:row r="590" ht="15" hidden="0" customHeight="1">
      <x:c r="A590" s="19" t="str">
        <x:v>800-O112-DR4-8E4O-SIPH</x:v>
      </x:c>
      <x:c r="B590" s="19" t="str">
        <x:v>C001</x:v>
      </x:c>
      <x:c r="C590" s="19" t="n">
        <x:v>1</x:v>
      </x:c>
      <x:c r="D590" s="19" t="str">
        <x:v>必需</x:v>
      </x:c>
      <x:c r="E590" s="19" t="str">
        <x:v>形态级</x:v>
      </x:c>
      <x:c r="F590" s="19" t="str">
        <x:v>OSFP112</x:v>
      </x:c>
    </x:row>
    <x:row r="591" ht="15" hidden="0" customHeight="1">
      <x:c r="A591" s="19" t="str">
        <x:v>800-O112-DR4-8E4O-SIPH</x:v>
      </x:c>
      <x:c r="B591" s="19" t="str">
        <x:v>C002</x:v>
      </x:c>
      <x:c r="C591" s="19" t="n">
        <x:v>1</x:v>
      </x:c>
      <x:c r="D591" s="19" t="str">
        <x:v>必需</x:v>
      </x:c>
      <x:c r="E591" s="19" t="str">
        <x:v>形态级</x:v>
      </x:c>
      <x:c r="F591" s="19" t="str">
        <x:v>散热能力需按功耗校核</x:v>
      </x:c>
    </x:row>
    <x:row r="592" ht="15" hidden="0" customHeight="1">
      <x:c r="A592" s="19" t="str">
        <x:v>800-O112-DR4-8E4O-SIPH</x:v>
      </x:c>
      <x:c r="B592" s="19" t="str">
        <x:v>C003</x:v>
      </x:c>
      <x:c r="C592" s="19" t="n">
        <x:v>1</x:v>
      </x:c>
      <x:c r="D592" s="19" t="str">
        <x:v>必需</x:v>
      </x:c>
      <x:c r="E592" s="19" t="str">
        <x:v>形态级</x:v>
      </x:c>
      <x:c r="F592" s="19" t="str">
        <x:v>CPO无传统前面板模块拉环</x:v>
      </x:c>
    </x:row>
    <x:row r="593" ht="15" hidden="0" customHeight="1">
      <x:c r="A593" s="19" t="str">
        <x:v>800-O112-DR4-8E4O-SIPH</x:v>
      </x:c>
      <x:c r="B593" s="19" t="str">
        <x:v>C004</x:v>
      </x:c>
      <x:c r="C593" s="19" t="n">
        <x:v>1</x:v>
      </x:c>
      <x:c r="D593" s="19" t="str">
        <x:v>必需</x:v>
      </x:c>
      <x:c r="E593" s="19" t="str">
        <x:v>代表性</x:v>
      </x:c>
      <x:c r="F593" s="19" t="str">
        <x:v>EMI屏蔽结构依外壳设计</x:v>
      </x:c>
    </x:row>
    <x:row r="594" ht="15" hidden="0" customHeight="1">
      <x:c r="A594" s="19" t="str">
        <x:v>800-O112-DR4-8E4O-SIPH</x:v>
      </x:c>
      <x:c r="B594" s="19" t="str">
        <x:v>C005</x:v>
      </x:c>
      <x:c r="C594" s="19" t="n">
        <x:v>1</x:v>
      </x:c>
      <x:c r="D594" s="19" t="str">
        <x:v>必需</x:v>
      </x:c>
      <x:c r="E594" s="19" t="str">
        <x:v>代表性</x:v>
      </x:c>
      <x:c r="F594" s="19" t="str">
        <x:v>CPO可采用封装基板+系统PCB</x:v>
      </x:c>
    </x:row>
    <x:row r="595" ht="15" hidden="0" customHeight="1">
      <x:c r="A595" s="19" t="str">
        <x:v>800-O112-DR4-8E4O-SIPH</x:v>
      </x:c>
      <x:c r="B595" s="19" t="str">
        <x:v>C056</x:v>
      </x:c>
      <x:c r="C595" s="19" t="n">
        <x:v>1</x:v>
      </x:c>
      <x:c r="D595" s="19" t="str">
        <x:v>必需</x:v>
      </x:c>
      <x:c r="E595" s="19" t="str">
        <x:v>形态级</x:v>
      </x:c>
      <x:c r="F595" s="19" t="str">
        <x:v>可插拔模块主机侧金手指/电连接器</x:v>
      </x:c>
    </x:row>
    <x:row r="596" ht="15" hidden="0" customHeight="1">
      <x:c r="A596" s="19" t="str">
        <x:v>800-O112-DR4-8E4O-SIPH</x:v>
      </x:c>
      <x:c r="B596" s="19" t="str">
        <x:v>C057</x:v>
      </x:c>
      <x:c r="C596" s="19" t="n">
        <x:v>1</x:v>
      </x:c>
      <x:c r="D596" s="19" t="str">
        <x:v>系统配套</x:v>
      </x:c>
      <x:c r="E596" s="19" t="str">
        <x:v>系统级</x:v>
      </x:c>
      <x:c r="F596" s="19" t="str">
        <x:v>cage不属于模块内采购BOM</x:v>
      </x:c>
    </x:row>
    <x:row r="597" ht="15" hidden="0" customHeight="1">
      <x:c r="A597" s="19" t="str">
        <x:v>800-O112-DR4-8E4O-SIPH</x:v>
      </x:c>
      <x:c r="B597" s="19" t="str">
        <x:v>C007</x:v>
      </x:c>
      <x:c r="C597" s="19" t="n">
        <x:v>1</x:v>
      </x:c>
      <x:c r="D597" s="19" t="str">
        <x:v>必需</x:v>
      </x:c>
      <x:c r="E597" s="19" t="str">
        <x:v>代表性</x:v>
      </x:c>
      <x:c r="F597" s="19" t="str">
        <x:v>光引擎承载基板/Interposer</x:v>
      </x:c>
    </x:row>
    <x:row r="598" ht="15" hidden="0" customHeight="1">
      <x:c r="A598" s="19" t="str">
        <x:v>800-O112-DR4-8E4O-SIPH</x:v>
      </x:c>
      <x:c r="B598" s="19" t="str">
        <x:v>C008</x:v>
      </x:c>
      <x:c r="C598" s="19" t="n">
        <x:v>1</x:v>
      </x:c>
      <x:c r="D598" s="19" t="str">
        <x:v>必需</x:v>
      </x:c>
      <x:c r="E598" s="19" t="str">
        <x:v>代表性</x:v>
      </x:c>
      <x:c r="F598" s="19" t="str">
        <x:v>数量按功耗域，不等于精确颗数</x:v>
      </x:c>
    </x:row>
    <x:row r="599" ht="15" hidden="0" customHeight="1">
      <x:c r="A599" s="19" t="str">
        <x:v>800-O112-DR4-8E4O-SIPH</x:v>
      </x:c>
      <x:c r="B599" s="19" t="str">
        <x:v>C009</x:v>
      </x:c>
      <x:c r="C599" s="19" t="n">
        <x:v>1</x:v>
      </x:c>
      <x:c r="D599" s="19" t="str">
        <x:v>必需</x:v>
      </x:c>
      <x:c r="E599" s="19" t="str">
        <x:v>管理接口</x:v>
      </x:c>
      <x:c r="F599" s="19" t="str">
        <x:v>可插拔模块使用CMIS管理</x:v>
      </x:c>
    </x:row>
    <x:row r="600" ht="15" hidden="0" customHeight="1">
      <x:c r="A600" s="19" t="str">
        <x:v>800-O112-DR4-8E4O-SIPH</x:v>
      </x:c>
      <x:c r="B600" s="19" t="str">
        <x:v>C010</x:v>
      </x:c>
      <x:c r="C600" s="19" t="n">
        <x:v>1</x:v>
      </x:c>
      <x:c r="D600" s="19" t="str">
        <x:v>按实现</x:v>
      </x:c>
      <x:c r="E600" s="19" t="str">
        <x:v>代表性</x:v>
      </x:c>
      <x:c r="F600" s="19" t="str">
        <x:v>模块控制与校准</x:v>
      </x:c>
    </x:row>
    <x:row r="601" ht="15" hidden="0" customHeight="1">
      <x:c r="A601" s="19" t="str">
        <x:v>800-O112-DR4-8E4O-SIPH</x:v>
      </x:c>
      <x:c r="B601" s="19" t="str">
        <x:v>C058</x:v>
      </x:c>
      <x:c r="C601" s="19" t="n">
        <x:v>1</x:v>
      </x:c>
      <x:c r="D601" s="19" t="str">
        <x:v>按实现</x:v>
      </x:c>
      <x:c r="E601" s="19" t="str">
        <x:v>时钟架构</x:v>
      </x:c>
      <x:c r="F601" s="19" t="str">
        <x:v>可由主机提供REFCLK或使用模块内时钟器件</x:v>
      </x:c>
    </x:row>
    <x:row r="602" ht="15" hidden="0" customHeight="1">
      <x:c r="A602" s="19" t="str">
        <x:v>800-O112-DR4-8E4O-SIPH</x:v>
      </x:c>
      <x:c r="B602" s="19" t="str">
        <x:v>C059</x:v>
      </x:c>
      <x:c r="C602" s="19" t="n">
        <x:v>1</x:v>
      </x:c>
      <x:c r="D602" s="19" t="str">
        <x:v>必需/可集成</x:v>
      </x:c>
      <x:c r="E602" s="19" t="str">
        <x:v>监控功能</x:v>
      </x:c>
      <x:c r="F602" s="19" t="str">
        <x:v>CMIS/控制系统温度监测</x:v>
      </x:c>
    </x:row>
    <x:row r="603" ht="15" hidden="0" customHeight="1">
      <x:c r="A603" s="19" t="str">
        <x:v>800-O112-DR4-8E4O-SIPH</x:v>
      </x:c>
      <x:c r="B603" s="19" t="str">
        <x:v>C060</x:v>
      </x:c>
      <x:c r="C603" s="19" t="n">
        <x:v>1</x:v>
      </x:c>
      <x:c r="D603" s="19" t="str">
        <x:v>必需</x:v>
      </x:c>
      <x:c r="E603" s="19" t="str">
        <x:v>器件组</x:v>
      </x:c>
      <x:c r="F603" s="19" t="str">
        <x:v>R/C/L数量不按lane数表示</x:v>
      </x:c>
    </x:row>
    <x:row r="604" ht="15" hidden="0" customHeight="1">
      <x:c r="A604" s="19" t="str">
        <x:v>800-O112-DR4-8E4O-SIPH</x:v>
      </x:c>
      <x:c r="B604" s="19" t="str">
        <x:v>C062</x:v>
      </x:c>
      <x:c r="C604" s="19" t="n">
        <x:v>1</x:v>
      </x:c>
      <x:c r="D604" s="19" t="str">
        <x:v>按封装</x:v>
      </x:c>
      <x:c r="E604" s="19" t="str">
        <x:v>互连工艺</x:v>
      </x:c>
      <x:c r="F604" s="19" t="str">
        <x:v>flip-chip平台使用</x:v>
      </x:c>
    </x:row>
    <x:row r="605" ht="15" hidden="0" customHeight="1">
      <x:c r="A605" s="19" t="str">
        <x:v>800-O112-DR4-8E4O-SIPH</x:v>
      </x:c>
      <x:c r="B605" s="19" t="str">
        <x:v>C063</x:v>
      </x:c>
      <x:c r="C605" s="19" t="n">
        <x:v>1</x:v>
      </x:c>
      <x:c r="D605" s="19" t="str">
        <x:v>按封装</x:v>
      </x:c>
      <x:c r="E605" s="19" t="str">
        <x:v>互连工艺</x:v>
      </x:c>
      <x:c r="F605" s="19" t="str">
        <x:v>wire/ribbon bond平台使用</x:v>
      </x:c>
    </x:row>
    <x:row r="606" ht="15" hidden="0" customHeight="1">
      <x:c r="A606" s="19" t="str">
        <x:v>800-O112-DR4-8E4O-SIPH</x:v>
      </x:c>
      <x:c r="B606" s="19" t="str">
        <x:v>C011</x:v>
      </x:c>
      <x:c r="C606" s="19" t="n">
        <x:v>1</x:v>
      </x:c>
      <x:c r="D606" s="19" t="str">
        <x:v>必需</x:v>
      </x:c>
      <x:c r="E606" s="19" t="str">
        <x:v>架构级</x:v>
      </x:c>
      <x:c r="F606" s="19" t="str">
        <x:v>含DSP/Gearbox</x:v>
      </x:c>
    </x:row>
    <x:row r="607" ht="15" hidden="0" customHeight="1">
      <x:c r="A607" s="19" t="str">
        <x:v>800-O112-DR4-8E4O-SIPH</x:v>
      </x:c>
      <x:c r="B607" s="19" t="str">
        <x:v>C012</x:v>
      </x:c>
      <x:c r="C607" s="19" t="n">
        <x:v>1</x:v>
      </x:c>
      <x:c r="D607" s="19" t="str">
        <x:v>必需</x:v>
      </x:c>
      <x:c r="E607" s="19" t="str">
        <x:v>通道级</x:v>
      </x:c>
      <x:c r="F607" s="19" t="str">
        <x:v>8×100G→4×200G</x:v>
      </x:c>
    </x:row>
    <x:row r="608" ht="15" hidden="0" customHeight="1">
      <x:c r="A608" s="19" t="str">
        <x:v>800-O112-DR4-8E4O-SIPH</x:v>
      </x:c>
      <x:c r="B608" s="19" t="str">
        <x:v>C014</x:v>
      </x:c>
      <x:c r="C608" s="19" t="n">
        <x:v>4</x:v>
      </x:c>
      <x:c r="D608" s="19" t="str">
        <x:v>必需</x:v>
      </x:c>
      <x:c r="E608" s="19" t="str">
        <x:v>功能通道数</x:v>
      </x:c>
      <x:c r="F608" s="19" t="str">
        <x:v>可能为阵列/多通道die，非精确封装颗数</x:v>
      </x:c>
    </x:row>
    <x:row r="609" ht="15" hidden="0" customHeight="1">
      <x:c r="A609" s="19" t="str">
        <x:v>800-O112-DR4-8E4O-SIPH</x:v>
      </x:c>
      <x:c r="B609" s="19" t="str">
        <x:v>C015</x:v>
      </x:c>
      <x:c r="C609" s="19" t="n">
        <x:v>4</x:v>
      </x:c>
      <x:c r="D609" s="19" t="str">
        <x:v>必需</x:v>
      </x:c>
      <x:c r="E609" s="19" t="str">
        <x:v>功能通道数</x:v>
      </x:c>
      <x:c r="F609" s="19" t="str">
        <x:v>可能为阵列/多通道die，非精确封装颗数</x:v>
      </x:c>
    </x:row>
    <x:row r="610" ht="15" hidden="0" customHeight="1">
      <x:c r="A610" s="19" t="str">
        <x:v>800-O112-DR4-8E4O-SIPH</x:v>
      </x:c>
      <x:c r="B610" s="19" t="str">
        <x:v>C025</x:v>
      </x:c>
      <x:c r="C610" s="19" t="n">
        <x:v>1</x:v>
      </x:c>
      <x:c r="D610" s="19" t="str">
        <x:v>必需</x:v>
      </x:c>
      <x:c r="E610" s="19" t="str">
        <x:v>PIC级</x:v>
      </x:c>
      <x:c r="F610" s="19" t="str">
        <x:v>具体是否MZM或MRR需供应商证据</x:v>
      </x:c>
    </x:row>
    <x:row r="611" ht="15" hidden="0" customHeight="1">
      <x:c r="A611" s="19" t="str">
        <x:v>800-O112-DR4-8E4O-SIPH</x:v>
      </x:c>
      <x:c r="B611" s="19" t="str">
        <x:v>C026</x:v>
      </x:c>
      <x:c r="C611" s="19" t="n">
        <x:v>4</x:v>
      </x:c>
      <x:c r="D611" s="19" t="str">
        <x:v>代表性</x:v>
      </x:c>
      <x:c r="E611" s="19" t="str">
        <x:v>微结构</x:v>
      </x:c>
      <x:c r="F611" s="19" t="str">
        <x:v>默认以MZM表示，若厂商披露MRR应改用C027</x:v>
      </x:c>
    </x:row>
    <x:row r="612" ht="15" hidden="0" customHeight="1">
      <x:c r="A612" s="19" t="str">
        <x:v>800-O112-DR4-8E4O-SIPH</x:v>
      </x:c>
      <x:c r="B612" s="19" t="str">
        <x:v>C028</x:v>
      </x:c>
      <x:c r="C612" s="19" t="n">
        <x:v>4</x:v>
      </x:c>
      <x:c r="D612" s="19" t="str">
        <x:v>内嵌</x:v>
      </x:c>
      <x:c r="E612" s="19" t="str">
        <x:v>微结构</x:v>
      </x:c>
      <x:c r="F612" s="19" t="str">
        <x:v>相移器</x:v>
      </x:c>
    </x:row>
    <x:row r="613" ht="15" hidden="0" customHeight="1">
      <x:c r="A613" s="19" t="str">
        <x:v>800-O112-DR4-8E4O-SIPH</x:v>
      </x:c>
      <x:c r="B613" s="19" t="str">
        <x:v>C029</x:v>
      </x:c>
      <x:c r="C613" s="19" t="n">
        <x:v>4</x:v>
      </x:c>
      <x:c r="D613" s="19" t="str">
        <x:v>内嵌</x:v>
      </x:c>
      <x:c r="E613" s="19" t="str">
        <x:v>微结构</x:v>
      </x:c>
      <x:c r="F613" s="19" t="str">
        <x:v>片上光路</x:v>
      </x:c>
    </x:row>
    <x:row r="614" ht="15" hidden="0" customHeight="1">
      <x:c r="A614" s="19" t="str">
        <x:v>800-O112-DR4-8E4O-SIPH</x:v>
      </x:c>
      <x:c r="B614" s="19" t="str">
        <x:v>C064</x:v>
      </x:c>
      <x:c r="C614" s="19" t="n">
        <x:v>1</x:v>
      </x:c>
      <x:c r="D614" s="19" t="str">
        <x:v>按实现</x:v>
      </x:c>
      <x:c r="E614" s="19" t="str">
        <x:v>微结构</x:v>
      </x:c>
      <x:c r="F614" s="19" t="str">
        <x:v>偏振管理</x:v>
      </x:c>
    </x:row>
    <x:row r="615" ht="15" hidden="0" customHeight="1">
      <x:c r="A615" s="19" t="str">
        <x:v>800-O112-DR4-8E4O-SIPH</x:v>
      </x:c>
      <x:c r="B615" s="19" t="str">
        <x:v>C065</x:v>
      </x:c>
      <x:c r="C615" s="19" t="n">
        <x:v>1</x:v>
      </x:c>
      <x:c r="D615" s="19" t="str">
        <x:v>按实现</x:v>
      </x:c>
      <x:c r="E615" s="19" t="str">
        <x:v>微结构</x:v>
      </x:c>
      <x:c r="F615" s="19" t="str">
        <x:v>抽光监控</x:v>
      </x:c>
    </x:row>
    <x:row r="616" ht="15" hidden="0" customHeight="1">
      <x:c r="A616" s="19" t="str">
        <x:v>800-O112-DR4-8E4O-SIPH</x:v>
      </x:c>
      <x:c r="B616" s="19" t="str">
        <x:v>C066</x:v>
      </x:c>
      <x:c r="C616" s="19" t="n">
        <x:v>1</x:v>
      </x:c>
      <x:c r="D616" s="19" t="str">
        <x:v>按实现</x:v>
      </x:c>
      <x:c r="E616" s="19" t="str">
        <x:v>微结构</x:v>
      </x:c>
      <x:c r="F616" s="19" t="str">
        <x:v>微环/AWG/滤波结构热调谐</x:v>
      </x:c>
    </x:row>
    <x:row r="617" ht="15" hidden="0" customHeight="1">
      <x:c r="A617" s="19" t="str">
        <x:v>800-O112-DR4-8E4O-SIPH</x:v>
      </x:c>
      <x:c r="B617" s="19" t="str">
        <x:v>C030</x:v>
      </x:c>
      <x:c r="C617" s="19" t="n">
        <x:v>4</x:v>
      </x:c>
      <x:c r="D617" s="19" t="str">
        <x:v>必需</x:v>
      </x:c>
      <x:c r="E617" s="19" t="str">
        <x:v>光通道</x:v>
      </x:c>
      <x:c r="F617" s="19" t="str">
        <x:v>Ge/Si PIN</x:v>
      </x:c>
    </x:row>
    <x:row r="618" ht="15" hidden="0" customHeight="1">
      <x:c r="A618" s="19" t="str">
        <x:v>800-O112-DR4-8E4O-SIPH</x:v>
      </x:c>
      <x:c r="B618" s="19" t="str">
        <x:v>C039</x:v>
      </x:c>
      <x:c r="C618" s="19" t="n">
        <x:v>4</x:v>
      </x:c>
      <x:c r="D618" s="19" t="str">
        <x:v>二选一</x:v>
      </x:c>
      <x:c r="E618" s="19" t="str">
        <x:v>耦合方式</x:v>
      </x:c>
      <x:c r="F618" s="19" t="str">
        <x:v>与边缘耦合器二选一或混用</x:v>
      </x:c>
    </x:row>
    <x:row r="619" ht="15" hidden="0" customHeight="1">
      <x:c r="A619" s="19" t="str">
        <x:v>800-O112-DR4-8E4O-SIPH</x:v>
      </x:c>
      <x:c r="B619" s="19" t="str">
        <x:v>C040</x:v>
      </x:c>
      <x:c r="C619" s="19" t="n">
        <x:v>4</x:v>
      </x:c>
      <x:c r="D619" s="19" t="str">
        <x:v>二选一</x:v>
      </x:c>
      <x:c r="E619" s="19" t="str">
        <x:v>耦合方式</x:v>
      </x:c>
      <x:c r="F619" s="19" t="str">
        <x:v>与光栅耦合器二选一或混用</x:v>
      </x:c>
    </x:row>
    <x:row r="620" ht="15" hidden="0" customHeight="1">
      <x:c r="A620" s="19" t="str">
        <x:v>800-O112-DR4-8E4O-SIPH</x:v>
      </x:c>
      <x:c r="B620" s="19" t="str">
        <x:v>C023</x:v>
      </x:c>
      <x:c r="C620" s="19" t="n">
        <x:v>1</x:v>
      </x:c>
      <x:c r="D620" s="19" t="str">
        <x:v>必需</x:v>
      </x:c>
      <x:c r="E620" s="19" t="str">
        <x:v>光源级</x:v>
      </x:c>
      <x:c r="F620" s="19" t="str">
        <x:v>可为多波长/多激光阵列</x:v>
      </x:c>
    </x:row>
    <x:row r="621" ht="15" hidden="0" customHeight="1">
      <x:c r="A621" s="19" t="str">
        <x:v>800-O112-DR4-8E4O-SIPH</x:v>
      </x:c>
      <x:c r="B621" s="19" t="str">
        <x:v>C022</x:v>
      </x:c>
      <x:c r="C621" s="19" t="n">
        <x:v>1</x:v>
      </x:c>
      <x:c r="D621" s="19" t="str">
        <x:v>内嵌</x:v>
      </x:c>
      <x:c r="E621" s="19" t="str">
        <x:v>微结构</x:v>
      </x:c>
      <x:c r="F621" s="19" t="str">
        <x:v>CW DFB内部光栅</x:v>
      </x:c>
    </x:row>
    <x:row r="622" ht="15" hidden="0" customHeight="1">
      <x:c r="A622" s="19" t="str">
        <x:v>800-O112-DR4-8E4O-SIPH</x:v>
      </x:c>
      <x:c r="B622" s="19" t="str">
        <x:v>C049</x:v>
      </x:c>
      <x:c r="C622" s="19" t="n">
        <x:v>4</x:v>
      </x:c>
      <x:c r="D622" s="19" t="str">
        <x:v>必需</x:v>
      </x:c>
      <x:c r="E622" s="19" t="str">
        <x:v>光纤通道</x:v>
      </x:c>
      <x:c r="F622" s="19" t="str">
        <x:v>PSM SMF</x:v>
      </x:c>
    </x:row>
    <x:row r="623" ht="15" hidden="0" customHeight="1">
      <x:c r="A623" s="19"/>
      <x:c r="B623" s="19"/>
      <x:c r="C623" s="19"/>
      <x:c r="D623" s="19"/>
      <x:c r="E623" s="19"/>
      <x:c r="F623" s="19"/>
    </x:row>
    <x:row r="624" ht="15" hidden="0" customHeight="1">
      <x:c r="A624" s="19"/>
      <x:c r="B624" s="19"/>
      <x:c r="C624" s="19"/>
      <x:c r="D624" s="19"/>
      <x:c r="E624" s="19"/>
      <x:c r="F624" s="19"/>
    </x:row>
    <x:row r="625" ht="15" hidden="0" customHeight="1">
      <x:c r="A625" s="19"/>
      <x:c r="B625" s="19"/>
      <x:c r="C625" s="19"/>
      <x:c r="D625" s="19"/>
      <x:c r="E625" s="19"/>
      <x:c r="F625" s="19"/>
    </x:row>
    <x:row r="626" ht="15" hidden="0" customHeight="1">
      <x:c r="A626" s="19" t="str">
        <x:v>800-O112-DR4-8E4O-SIPH</x:v>
      </x:c>
      <x:c r="B626" s="19" t="str">
        <x:v>C037</x:v>
      </x:c>
      <x:c r="C626" s="19" t="n">
        <x:v>4</x:v>
      </x:c>
      <x:c r="D626" s="19" t="str">
        <x:v>按实现</x:v>
      </x:c>
      <x:c r="E626" s="19" t="str">
        <x:v>光通道</x:v>
      </x:c>
      <x:c r="F626" s="19" t="str">
        <x:v>自由空间/阵列耦合时使用</x:v>
      </x:c>
    </x:row>
    <x:row r="627" ht="15" hidden="0" customHeight="1">
      <x:c r="A627" s="19" t="str">
        <x:v>800-O112-DR4-8E4O-SIPH</x:v>
      </x:c>
      <x:c r="B627" s="19" t="str">
        <x:v>C038</x:v>
      </x:c>
      <x:c r="C627" s="19" t="n">
        <x:v>4</x:v>
      </x:c>
      <x:c r="D627" s="19" t="str">
        <x:v>按实现</x:v>
      </x:c>
      <x:c r="E627" s="19" t="str">
        <x:v>光通道</x:v>
      </x:c>
      <x:c r="F627" s="19" t="str">
        <x:v>FAU可能按阵列封装，不等于单根数量</x:v>
      </x:c>
    </x:row>
    <x:row r="628" ht="15" hidden="0" customHeight="1">
      <x:c r="A628" s="19" t="str">
        <x:v>800-O112-DR4-8E4O-SIPH</x:v>
      </x:c>
      <x:c r="B628" s="19" t="str">
        <x:v>C044</x:v>
      </x:c>
      <x:c r="C628" s="19" t="n">
        <x:v>1</x:v>
      </x:c>
      <x:c r="D628" s="19" t="str">
        <x:v>必需</x:v>
      </x:c>
      <x:c r="E628" s="19" t="str">
        <x:v>连接器级</x:v>
      </x:c>
      <x:c r="F628" s="19" t="str">
        <x:v>MPO12</x:v>
      </x:c>
    </x:row>
    <x:row r="629" ht="15" hidden="0" customHeight="1">
      <x:c r="A629" s="19" t="str">
        <x:v>800-O112-DR4-8E4O-SIPH</x:v>
      </x:c>
      <x:c r="B629" s="19" t="str">
        <x:v>C045</x:v>
      </x:c>
      <x:c r="C629" s="19" t="n">
        <x:v>1</x:v>
      </x:c>
      <x:c r="D629" s="19" t="str">
        <x:v>内嵌</x:v>
      </x:c>
      <x:c r="E629" s="19" t="str">
        <x:v>连接器级</x:v>
      </x:c>
      <x:c r="F629" s="19" t="str">
        <x:v>MT插芯</x:v>
      </x:c>
    </x:row>
    <x:row r="630" ht="15" hidden="0" customHeight="1">
      <x:c r="A630" s="19" t="str">
        <x:v>800-O112-DR4-8E4O-SIPH</x:v>
      </x:c>
      <x:c r="B630" s="19" t="str">
        <x:v>C046</x:v>
      </x:c>
      <x:c r="C630" s="19" t="n">
        <x:v>1</x:v>
      </x:c>
      <x:c r="D630" s="19" t="str">
        <x:v>内嵌</x:v>
      </x:c>
      <x:c r="E630" s="19" t="str">
        <x:v>连接器级</x:v>
      </x:c>
      <x:c r="F630" s="19" t="str">
        <x:v>导针与弹簧</x:v>
      </x:c>
    </x:row>
    <x:row r="631" ht="15" hidden="0" customHeight="1">
      <x:c r="A631" s="19" t="str">
        <x:v>800-O112-DR4-8E4O-SIPH</x:v>
      </x:c>
      <x:c r="B631" s="19" t="str">
        <x:v>C053</x:v>
      </x:c>
      <x:c r="C631" s="19" t="n">
        <x:v>1</x:v>
      </x:c>
      <x:c r="D631" s="19" t="str">
        <x:v>必需</x:v>
      </x:c>
      <x:c r="E631" s="19" t="str">
        <x:v>热管理</x:v>
      </x:c>
      <x:c r="F631" s="19" t="str">
        <x:v>TIM</x:v>
      </x:c>
    </x:row>
    <x:row r="632" ht="15" hidden="0" customHeight="1">
      <x:c r="A632" s="19" t="str">
        <x:v>800-O112-DR4-8E4O-SIPH</x:v>
      </x:c>
      <x:c r="B632" s="19" t="str">
        <x:v>C054</x:v>
      </x:c>
      <x:c r="C632" s="19" t="n">
        <x:v>1</x:v>
      </x:c>
      <x:c r="D632" s="19" t="str">
        <x:v>按实现</x:v>
      </x:c>
      <x:c r="E632" s="19" t="str">
        <x:v>封装</x:v>
      </x:c>
      <x:c r="F632" s="19" t="str">
        <x:v>光学胶/底填</x:v>
      </x:c>
    </x:row>
    <x:row r="633" ht="15" hidden="0" customHeight="1">
      <x:c r="A633" s="19" t="str">
        <x:v>800-O112-FR4-8E4O-SIPH</x:v>
      </x:c>
      <x:c r="B633" s="19" t="str">
        <x:v>C001</x:v>
      </x:c>
      <x:c r="C633" s="19" t="n">
        <x:v>1</x:v>
      </x:c>
      <x:c r="D633" s="19" t="str">
        <x:v>必需</x:v>
      </x:c>
      <x:c r="E633" s="19" t="str">
        <x:v>形态级</x:v>
      </x:c>
      <x:c r="F633" s="19" t="str">
        <x:v>OSFP112</x:v>
      </x:c>
    </x:row>
    <x:row r="634" ht="15" hidden="0" customHeight="1">
      <x:c r="A634" s="19" t="str">
        <x:v>800-O112-FR4-8E4O-SIPH</x:v>
      </x:c>
      <x:c r="B634" s="19" t="str">
        <x:v>C002</x:v>
      </x:c>
      <x:c r="C634" s="19" t="n">
        <x:v>1</x:v>
      </x:c>
      <x:c r="D634" s="19" t="str">
        <x:v>必需</x:v>
      </x:c>
      <x:c r="E634" s="19" t="str">
        <x:v>形态级</x:v>
      </x:c>
      <x:c r="F634" s="19" t="str">
        <x:v>散热能力需按功耗校核</x:v>
      </x:c>
    </x:row>
    <x:row r="635" ht="15" hidden="0" customHeight="1">
      <x:c r="A635" s="19" t="str">
        <x:v>800-O112-FR4-8E4O-SIPH</x:v>
      </x:c>
      <x:c r="B635" s="19" t="str">
        <x:v>C003</x:v>
      </x:c>
      <x:c r="C635" s="19" t="n">
        <x:v>1</x:v>
      </x:c>
      <x:c r="D635" s="19" t="str">
        <x:v>必需</x:v>
      </x:c>
      <x:c r="E635" s="19" t="str">
        <x:v>形态级</x:v>
      </x:c>
      <x:c r="F635" s="19" t="str">
        <x:v>CPO无传统前面板模块拉环</x:v>
      </x:c>
    </x:row>
    <x:row r="636" ht="15" hidden="0" customHeight="1">
      <x:c r="A636" s="19" t="str">
        <x:v>800-O112-FR4-8E4O-SIPH</x:v>
      </x:c>
      <x:c r="B636" s="19" t="str">
        <x:v>C004</x:v>
      </x:c>
      <x:c r="C636" s="19" t="n">
        <x:v>1</x:v>
      </x:c>
      <x:c r="D636" s="19" t="str">
        <x:v>必需</x:v>
      </x:c>
      <x:c r="E636" s="19" t="str">
        <x:v>代表性</x:v>
      </x:c>
      <x:c r="F636" s="19" t="str">
        <x:v>EMI屏蔽结构依外壳设计</x:v>
      </x:c>
    </x:row>
    <x:row r="637" ht="15" hidden="0" customHeight="1">
      <x:c r="A637" s="19" t="str">
        <x:v>800-O112-FR4-8E4O-SIPH</x:v>
      </x:c>
      <x:c r="B637" s="19" t="str">
        <x:v>C005</x:v>
      </x:c>
      <x:c r="C637" s="19" t="n">
        <x:v>1</x:v>
      </x:c>
      <x:c r="D637" s="19" t="str">
        <x:v>必需</x:v>
      </x:c>
      <x:c r="E637" s="19" t="str">
        <x:v>代表性</x:v>
      </x:c>
      <x:c r="F637" s="19" t="str">
        <x:v>CPO可采用封装基板+系统PCB</x:v>
      </x:c>
    </x:row>
    <x:row r="638" ht="15" hidden="0" customHeight="1">
      <x:c r="A638" s="19" t="str">
        <x:v>800-O112-FR4-8E4O-SIPH</x:v>
      </x:c>
      <x:c r="B638" s="19" t="str">
        <x:v>C056</x:v>
      </x:c>
      <x:c r="C638" s="19" t="n">
        <x:v>1</x:v>
      </x:c>
      <x:c r="D638" s="19" t="str">
        <x:v>必需</x:v>
      </x:c>
      <x:c r="E638" s="19" t="str">
        <x:v>形态级</x:v>
      </x:c>
      <x:c r="F638" s="19" t="str">
        <x:v>可插拔模块主机侧金手指/电连接器</x:v>
      </x:c>
    </x:row>
    <x:row r="639" ht="15" hidden="0" customHeight="1">
      <x:c r="A639" s="19" t="str">
        <x:v>800-O112-FR4-8E4O-SIPH</x:v>
      </x:c>
      <x:c r="B639" s="19" t="str">
        <x:v>C057</x:v>
      </x:c>
      <x:c r="C639" s="19" t="n">
        <x:v>1</x:v>
      </x:c>
      <x:c r="D639" s="19" t="str">
        <x:v>系统配套</x:v>
      </x:c>
      <x:c r="E639" s="19" t="str">
        <x:v>系统级</x:v>
      </x:c>
      <x:c r="F639" s="19" t="str">
        <x:v>cage不属于模块内采购BOM</x:v>
      </x:c>
    </x:row>
    <x:row r="640" ht="15" hidden="0" customHeight="1">
      <x:c r="A640" s="19" t="str">
        <x:v>800-O112-FR4-8E4O-SIPH</x:v>
      </x:c>
      <x:c r="B640" s="19" t="str">
        <x:v>C007</x:v>
      </x:c>
      <x:c r="C640" s="19" t="n">
        <x:v>1</x:v>
      </x:c>
      <x:c r="D640" s="19" t="str">
        <x:v>必需</x:v>
      </x:c>
      <x:c r="E640" s="19" t="str">
        <x:v>代表性</x:v>
      </x:c>
      <x:c r="F640" s="19" t="str">
        <x:v>光引擎承载基板/Interposer</x:v>
      </x:c>
    </x:row>
    <x:row r="641" ht="15" hidden="0" customHeight="1">
      <x:c r="A641" s="19" t="str">
        <x:v>800-O112-FR4-8E4O-SIPH</x:v>
      </x:c>
      <x:c r="B641" s="19" t="str">
        <x:v>C008</x:v>
      </x:c>
      <x:c r="C641" s="19" t="n">
        <x:v>1</x:v>
      </x:c>
      <x:c r="D641" s="19" t="str">
        <x:v>必需</x:v>
      </x:c>
      <x:c r="E641" s="19" t="str">
        <x:v>代表性</x:v>
      </x:c>
      <x:c r="F641" s="19" t="str">
        <x:v>数量按功耗域，不等于精确颗数</x:v>
      </x:c>
    </x:row>
    <x:row r="642" ht="15" hidden="0" customHeight="1">
      <x:c r="A642" s="19" t="str">
        <x:v>800-O112-FR4-8E4O-SIPH</x:v>
      </x:c>
      <x:c r="B642" s="19" t="str">
        <x:v>C009</x:v>
      </x:c>
      <x:c r="C642" s="19" t="n">
        <x:v>1</x:v>
      </x:c>
      <x:c r="D642" s="19" t="str">
        <x:v>必需</x:v>
      </x:c>
      <x:c r="E642" s="19" t="str">
        <x:v>管理接口</x:v>
      </x:c>
      <x:c r="F642" s="19" t="str">
        <x:v>可插拔模块使用CMIS管理</x:v>
      </x:c>
    </x:row>
    <x:row r="643" ht="15" hidden="0" customHeight="1">
      <x:c r="A643" s="19" t="str">
        <x:v>800-O112-FR4-8E4O-SIPH</x:v>
      </x:c>
      <x:c r="B643" s="19" t="str">
        <x:v>C010</x:v>
      </x:c>
      <x:c r="C643" s="19" t="n">
        <x:v>1</x:v>
      </x:c>
      <x:c r="D643" s="19" t="str">
        <x:v>按实现</x:v>
      </x:c>
      <x:c r="E643" s="19" t="str">
        <x:v>代表性</x:v>
      </x:c>
      <x:c r="F643" s="19" t="str">
        <x:v>模块控制与校准</x:v>
      </x:c>
    </x:row>
    <x:row r="644" ht="15" hidden="0" customHeight="1">
      <x:c r="A644" s="19" t="str">
        <x:v>800-O112-FR4-8E4O-SIPH</x:v>
      </x:c>
      <x:c r="B644" s="19" t="str">
        <x:v>C058</x:v>
      </x:c>
      <x:c r="C644" s="19" t="n">
        <x:v>1</x:v>
      </x:c>
      <x:c r="D644" s="19" t="str">
        <x:v>按实现</x:v>
      </x:c>
      <x:c r="E644" s="19" t="str">
        <x:v>时钟架构</x:v>
      </x:c>
      <x:c r="F644" s="19" t="str">
        <x:v>可由主机提供REFCLK或使用模块内时钟器件</x:v>
      </x:c>
    </x:row>
    <x:row r="645" ht="15" hidden="0" customHeight="1">
      <x:c r="A645" s="19" t="str">
        <x:v>800-O112-FR4-8E4O-SIPH</x:v>
      </x:c>
      <x:c r="B645" s="19" t="str">
        <x:v>C059</x:v>
      </x:c>
      <x:c r="C645" s="19" t="n">
        <x:v>1</x:v>
      </x:c>
      <x:c r="D645" s="19" t="str">
        <x:v>必需/可集成</x:v>
      </x:c>
      <x:c r="E645" s="19" t="str">
        <x:v>监控功能</x:v>
      </x:c>
      <x:c r="F645" s="19" t="str">
        <x:v>CMIS/控制系统温度监测</x:v>
      </x:c>
    </x:row>
    <x:row r="646" ht="15" hidden="0" customHeight="1">
      <x:c r="A646" s="19" t="str">
        <x:v>800-O112-FR4-8E4O-SIPH</x:v>
      </x:c>
      <x:c r="B646" s="19" t="str">
        <x:v>C060</x:v>
      </x:c>
      <x:c r="C646" s="19" t="n">
        <x:v>1</x:v>
      </x:c>
      <x:c r="D646" s="19" t="str">
        <x:v>必需</x:v>
      </x:c>
      <x:c r="E646" s="19" t="str">
        <x:v>器件组</x:v>
      </x:c>
      <x:c r="F646" s="19" t="str">
        <x:v>R/C/L数量不按lane数表示</x:v>
      </x:c>
    </x:row>
    <x:row r="647" ht="15" hidden="0" customHeight="1">
      <x:c r="A647" s="19" t="str">
        <x:v>800-O112-FR4-8E4O-SIPH</x:v>
      </x:c>
      <x:c r="B647" s="19" t="str">
        <x:v>C062</x:v>
      </x:c>
      <x:c r="C647" s="19" t="n">
        <x:v>1</x:v>
      </x:c>
      <x:c r="D647" s="19" t="str">
        <x:v>按封装</x:v>
      </x:c>
      <x:c r="E647" s="19" t="str">
        <x:v>互连工艺</x:v>
      </x:c>
      <x:c r="F647" s="19" t="str">
        <x:v>flip-chip平台使用</x:v>
      </x:c>
    </x:row>
    <x:row r="648" ht="15" hidden="0" customHeight="1">
      <x:c r="A648" s="19" t="str">
        <x:v>800-O112-FR4-8E4O-SIPH</x:v>
      </x:c>
      <x:c r="B648" s="19" t="str">
        <x:v>C063</x:v>
      </x:c>
      <x:c r="C648" s="19" t="n">
        <x:v>1</x:v>
      </x:c>
      <x:c r="D648" s="19" t="str">
        <x:v>按封装</x:v>
      </x:c>
      <x:c r="E648" s="19" t="str">
        <x:v>互连工艺</x:v>
      </x:c>
      <x:c r="F648" s="19" t="str">
        <x:v>wire/ribbon bond平台使用</x:v>
      </x:c>
    </x:row>
    <x:row r="649" ht="15" hidden="0" customHeight="1">
      <x:c r="A649" s="19" t="str">
        <x:v>800-O112-FR4-8E4O-SIPH</x:v>
      </x:c>
      <x:c r="B649" s="19" t="str">
        <x:v>C011</x:v>
      </x:c>
      <x:c r="C649" s="19" t="n">
        <x:v>1</x:v>
      </x:c>
      <x:c r="D649" s="19" t="str">
        <x:v>必需</x:v>
      </x:c>
      <x:c r="E649" s="19" t="str">
        <x:v>架构级</x:v>
      </x:c>
      <x:c r="F649" s="19" t="str">
        <x:v>含DSP/Gearbox</x:v>
      </x:c>
    </x:row>
    <x:row r="650" ht="15" hidden="0" customHeight="1">
      <x:c r="A650" s="19" t="str">
        <x:v>800-O112-FR4-8E4O-SIPH</x:v>
      </x:c>
      <x:c r="B650" s="19" t="str">
        <x:v>C012</x:v>
      </x:c>
      <x:c r="C650" s="19" t="n">
        <x:v>1</x:v>
      </x:c>
      <x:c r="D650" s="19" t="str">
        <x:v>必需</x:v>
      </x:c>
      <x:c r="E650" s="19" t="str">
        <x:v>通道级</x:v>
      </x:c>
      <x:c r="F650" s="19" t="str">
        <x:v>8×100G→4×200G</x:v>
      </x:c>
    </x:row>
    <x:row r="651" ht="15" hidden="0" customHeight="1">
      <x:c r="A651" s="19" t="str">
        <x:v>800-O112-FR4-8E4O-SIPH</x:v>
      </x:c>
      <x:c r="B651" s="19" t="str">
        <x:v>C014</x:v>
      </x:c>
      <x:c r="C651" s="19" t="n">
        <x:v>4</x:v>
      </x:c>
      <x:c r="D651" s="19" t="str">
        <x:v>必需</x:v>
      </x:c>
      <x:c r="E651" s="19" t="str">
        <x:v>功能通道数</x:v>
      </x:c>
      <x:c r="F651" s="19" t="str">
        <x:v>可能为阵列/多通道die，非精确封装颗数</x:v>
      </x:c>
    </x:row>
    <x:row r="652" ht="15" hidden="0" customHeight="1">
      <x:c r="A652" s="19" t="str">
        <x:v>800-O112-FR4-8E4O-SIPH</x:v>
      </x:c>
      <x:c r="B652" s="19" t="str">
        <x:v>C015</x:v>
      </x:c>
      <x:c r="C652" s="19" t="n">
        <x:v>4</x:v>
      </x:c>
      <x:c r="D652" s="19" t="str">
        <x:v>必需</x:v>
      </x:c>
      <x:c r="E652" s="19" t="str">
        <x:v>功能通道数</x:v>
      </x:c>
      <x:c r="F652" s="19" t="str">
        <x:v>可能为阵列/多通道die，非精确封装颗数</x:v>
      </x:c>
    </x:row>
    <x:row r="653" ht="15" hidden="0" customHeight="1">
      <x:c r="A653" s="19" t="str">
        <x:v>800-O112-FR4-8E4O-SIPH</x:v>
      </x:c>
      <x:c r="B653" s="19" t="str">
        <x:v>C025</x:v>
      </x:c>
      <x:c r="C653" s="19" t="n">
        <x:v>1</x:v>
      </x:c>
      <x:c r="D653" s="19" t="str">
        <x:v>必需</x:v>
      </x:c>
      <x:c r="E653" s="19" t="str">
        <x:v>PIC级</x:v>
      </x:c>
      <x:c r="F653" s="19" t="str">
        <x:v>具体是否MZM或MRR需供应商证据</x:v>
      </x:c>
    </x:row>
    <x:row r="654" ht="15" hidden="0" customHeight="1">
      <x:c r="A654" s="19" t="str">
        <x:v>800-O112-FR4-8E4O-SIPH</x:v>
      </x:c>
      <x:c r="B654" s="19" t="str">
        <x:v>C026</x:v>
      </x:c>
      <x:c r="C654" s="19" t="n">
        <x:v>4</x:v>
      </x:c>
      <x:c r="D654" s="19" t="str">
        <x:v>代表性</x:v>
      </x:c>
      <x:c r="E654" s="19" t="str">
        <x:v>微结构</x:v>
      </x:c>
      <x:c r="F654" s="19" t="str">
        <x:v>默认以MZM表示，若厂商披露MRR应改用C027</x:v>
      </x:c>
    </x:row>
    <x:row r="655" ht="15" hidden="0" customHeight="1">
      <x:c r="A655" s="19" t="str">
        <x:v>800-O112-FR4-8E4O-SIPH</x:v>
      </x:c>
      <x:c r="B655" s="19" t="str">
        <x:v>C028</x:v>
      </x:c>
      <x:c r="C655" s="19" t="n">
        <x:v>4</x:v>
      </x:c>
      <x:c r="D655" s="19" t="str">
        <x:v>内嵌</x:v>
      </x:c>
      <x:c r="E655" s="19" t="str">
        <x:v>微结构</x:v>
      </x:c>
      <x:c r="F655" s="19" t="str">
        <x:v>相移器</x:v>
      </x:c>
    </x:row>
    <x:row r="656" ht="15" hidden="0" customHeight="1">
      <x:c r="A656" s="19" t="str">
        <x:v>800-O112-FR4-8E4O-SIPH</x:v>
      </x:c>
      <x:c r="B656" s="19" t="str">
        <x:v>C029</x:v>
      </x:c>
      <x:c r="C656" s="19" t="n">
        <x:v>4</x:v>
      </x:c>
      <x:c r="D656" s="19" t="str">
        <x:v>内嵌</x:v>
      </x:c>
      <x:c r="E656" s="19" t="str">
        <x:v>微结构</x:v>
      </x:c>
      <x:c r="F656" s="19" t="str">
        <x:v>片上光路</x:v>
      </x:c>
    </x:row>
    <x:row r="657" ht="15" hidden="0" customHeight="1">
      <x:c r="A657" s="19" t="str">
        <x:v>800-O112-FR4-8E4O-SIPH</x:v>
      </x:c>
      <x:c r="B657" s="19" t="str">
        <x:v>C064</x:v>
      </x:c>
      <x:c r="C657" s="19" t="n">
        <x:v>1</x:v>
      </x:c>
      <x:c r="D657" s="19" t="str">
        <x:v>按实现</x:v>
      </x:c>
      <x:c r="E657" s="19" t="str">
        <x:v>微结构</x:v>
      </x:c>
      <x:c r="F657" s="19" t="str">
        <x:v>偏振管理</x:v>
      </x:c>
    </x:row>
    <x:row r="658" ht="15" hidden="0" customHeight="1">
      <x:c r="A658" s="19" t="str">
        <x:v>800-O112-FR4-8E4O-SIPH</x:v>
      </x:c>
      <x:c r="B658" s="19" t="str">
        <x:v>C065</x:v>
      </x:c>
      <x:c r="C658" s="19" t="n">
        <x:v>1</x:v>
      </x:c>
      <x:c r="D658" s="19" t="str">
        <x:v>按实现</x:v>
      </x:c>
      <x:c r="E658" s="19" t="str">
        <x:v>微结构</x:v>
      </x:c>
      <x:c r="F658" s="19" t="str">
        <x:v>抽光监控</x:v>
      </x:c>
    </x:row>
    <x:row r="659" ht="15" hidden="0" customHeight="1">
      <x:c r="A659" s="19" t="str">
        <x:v>800-O112-FR4-8E4O-SIPH</x:v>
      </x:c>
      <x:c r="B659" s="19" t="str">
        <x:v>C066</x:v>
      </x:c>
      <x:c r="C659" s="19" t="n">
        <x:v>1</x:v>
      </x:c>
      <x:c r="D659" s="19" t="str">
        <x:v>按实现</x:v>
      </x:c>
      <x:c r="E659" s="19" t="str">
        <x:v>微结构</x:v>
      </x:c>
      <x:c r="F659" s="19" t="str">
        <x:v>微环/AWG/滤波结构热调谐</x:v>
      </x:c>
    </x:row>
    <x:row r="660" ht="15" hidden="0" customHeight="1">
      <x:c r="A660" s="19" t="str">
        <x:v>800-O112-FR4-8E4O-SIPH</x:v>
      </x:c>
      <x:c r="B660" s="19" t="str">
        <x:v>C030</x:v>
      </x:c>
      <x:c r="C660" s="19" t="n">
        <x:v>4</x:v>
      </x:c>
      <x:c r="D660" s="19" t="str">
        <x:v>必需</x:v>
      </x:c>
      <x:c r="E660" s="19" t="str">
        <x:v>光通道</x:v>
      </x:c>
      <x:c r="F660" s="19" t="str">
        <x:v>Ge/Si PIN</x:v>
      </x:c>
    </x:row>
    <x:row r="661" ht="15" hidden="0" customHeight="1">
      <x:c r="A661" s="19" t="str">
        <x:v>800-O112-FR4-8E4O-SIPH</x:v>
      </x:c>
      <x:c r="B661" s="19" t="str">
        <x:v>C039</x:v>
      </x:c>
      <x:c r="C661" s="19" t="n">
        <x:v>4</x:v>
      </x:c>
      <x:c r="D661" s="19" t="str">
        <x:v>二选一</x:v>
      </x:c>
      <x:c r="E661" s="19" t="str">
        <x:v>耦合方式</x:v>
      </x:c>
      <x:c r="F661" s="19" t="str">
        <x:v>与边缘耦合器二选一或混用</x:v>
      </x:c>
    </x:row>
    <x:row r="662" ht="15" hidden="0" customHeight="1">
      <x:c r="A662" s="19" t="str">
        <x:v>800-O112-FR4-8E4O-SIPH</x:v>
      </x:c>
      <x:c r="B662" s="19" t="str">
        <x:v>C040</x:v>
      </x:c>
      <x:c r="C662" s="19" t="n">
        <x:v>4</x:v>
      </x:c>
      <x:c r="D662" s="19" t="str">
        <x:v>二选一</x:v>
      </x:c>
      <x:c r="E662" s="19" t="str">
        <x:v>耦合方式</x:v>
      </x:c>
      <x:c r="F662" s="19" t="str">
        <x:v>与光栅耦合器二选一或混用</x:v>
      </x:c>
    </x:row>
    <x:row r="663" ht="15" hidden="0" customHeight="1">
      <x:c r="A663" s="19" t="str">
        <x:v>800-O112-FR4-8E4O-SIPH</x:v>
      </x:c>
      <x:c r="B663" s="19" t="str">
        <x:v>C023</x:v>
      </x:c>
      <x:c r="C663" s="19" t="n">
        <x:v>1</x:v>
      </x:c>
      <x:c r="D663" s="19" t="str">
        <x:v>必需</x:v>
      </x:c>
      <x:c r="E663" s="19" t="str">
        <x:v>光源级</x:v>
      </x:c>
      <x:c r="F663" s="19" t="str">
        <x:v>可为多波长/多激光阵列</x:v>
      </x:c>
    </x:row>
    <x:row r="664" ht="15" hidden="0" customHeight="1">
      <x:c r="A664" s="19" t="str">
        <x:v>800-O112-FR4-8E4O-SIPH</x:v>
      </x:c>
      <x:c r="B664" s="19" t="str">
        <x:v>C022</x:v>
      </x:c>
      <x:c r="C664" s="19" t="n">
        <x:v>1</x:v>
      </x:c>
      <x:c r="D664" s="19" t="str">
        <x:v>内嵌</x:v>
      </x:c>
      <x:c r="E664" s="19" t="str">
        <x:v>微结构</x:v>
      </x:c>
      <x:c r="F664" s="19" t="str">
        <x:v>CW DFB内部光栅</x:v>
      </x:c>
    </x:row>
    <x:row r="665" ht="15" hidden="0" customHeight="1">
      <x:c r="A665" s="19" t="str">
        <x:v>800-O112-FR4-8E4O-SIPH</x:v>
      </x:c>
      <x:c r="B665" s="19" t="str">
        <x:v>C049</x:v>
      </x:c>
      <x:c r="C665" s="19" t="n">
        <x:v>4</x:v>
      </x:c>
      <x:c r="D665" s="19" t="str">
        <x:v>必需</x:v>
      </x:c>
      <x:c r="E665" s="19" t="str">
        <x:v>光纤通道</x:v>
      </x:c>
      <x:c r="F665" s="19" t="str">
        <x:v>SMF</x:v>
      </x:c>
    </x:row>
    <x:row r="666" ht="15" hidden="0" customHeight="1">
      <x:c r="A666" s="19" t="str">
        <x:v>800-O112-FR4-8E4O-SIPH</x:v>
      </x:c>
      <x:c r="B666" s="19" t="str">
        <x:v>C034</x:v>
      </x:c>
      <x:c r="C666" s="19" t="n">
        <x:v>1</x:v>
      </x:c>
      <x:c r="D666" s="19" t="str">
        <x:v>必需</x:v>
      </x:c>
      <x:c r="E666" s="19" t="str">
        <x:v>端口/波分组</x:v>
      </x:c>
      <x:c r="F666" s="19" t="str">
        <x:v>4λ CWDM</x:v>
      </x:c>
    </x:row>
    <x:row r="667" ht="15" hidden="0" customHeight="1">
      <x:c r="A667" s="19" t="str">
        <x:v>800-O112-FR4-8E4O-SIPH</x:v>
      </x:c>
      <x:c r="B667" s="19" t="str">
        <x:v>C035</x:v>
      </x:c>
      <x:c r="C667" s="19" t="n">
        <x:v>1</x:v>
      </x:c>
      <x:c r="D667" s="19" t="str">
        <x:v>实现选项</x:v>
      </x:c>
      <x:c r="E667" s="19" t="str">
        <x:v>微结构</x:v>
      </x:c>
      <x:c r="F667" s="19" t="str">
        <x:v>AWG为MUX/DEMUX的一种实现</x:v>
      </x:c>
    </x:row>
    <x:row r="668" ht="15" hidden="0" customHeight="1">
      <x:c r="A668" s="19" t="str">
        <x:v>800-O112-FR4-8E4O-SIPH</x:v>
      </x:c>
      <x:c r="B668" s="19" t="str">
        <x:v>C036</x:v>
      </x:c>
      <x:c r="C668" s="19" t="n">
        <x:v>1</x:v>
      </x:c>
      <x:c r="D668" s="19" t="str">
        <x:v>实现选项</x:v>
      </x:c>
      <x:c r="E668" s="19" t="str">
        <x:v>微结构</x:v>
      </x:c>
      <x:c r="F668" s="19" t="str">
        <x:v>TFF为MUX/DEMUX的另一种实现</x:v>
      </x:c>
    </x:row>
    <x:row r="669" ht="15" hidden="0" customHeight="1">
      <x:c r="A669" s="19" t="str">
        <x:v>800-O112-FR4-8E4O-SIPH</x:v>
      </x:c>
      <x:c r="B669" s="19" t="str">
        <x:v>C037</x:v>
      </x:c>
      <x:c r="C669" s="19" t="n">
        <x:v>4</x:v>
      </x:c>
      <x:c r="D669" s="19" t="str">
        <x:v>按实现</x:v>
      </x:c>
      <x:c r="E669" s="19" t="str">
        <x:v>光通道</x:v>
      </x:c>
      <x:c r="F669" s="19" t="str">
        <x:v>自由空间/阵列耦合时使用</x:v>
      </x:c>
    </x:row>
    <x:row r="670" ht="15" hidden="0" customHeight="1">
      <x:c r="A670" s="19" t="str">
        <x:v>800-O112-FR4-8E4O-SIPH</x:v>
      </x:c>
      <x:c r="B670" s="19" t="str">
        <x:v>C038</x:v>
      </x:c>
      <x:c r="C670" s="19" t="n">
        <x:v>4</x:v>
      </x:c>
      <x:c r="D670" s="19" t="str">
        <x:v>按实现</x:v>
      </x:c>
      <x:c r="E670" s="19" t="str">
        <x:v>光通道</x:v>
      </x:c>
      <x:c r="F670" s="19" t="str">
        <x:v>FAU可能按阵列封装，不等于单根数量</x:v>
      </x:c>
    </x:row>
    <x:row r="671" ht="15" hidden="0" customHeight="1">
      <x:c r="A671" s="19" t="str">
        <x:v>800-O112-FR4-8E4O-SIPH</x:v>
      </x:c>
      <x:c r="B671" s="19" t="str">
        <x:v>C047</x:v>
      </x:c>
      <x:c r="C671" s="19" t="n">
        <x:v>1</x:v>
      </x:c>
      <x:c r="D671" s="19" t="str">
        <x:v>必需</x:v>
      </x:c>
      <x:c r="E671" s="19" t="str">
        <x:v>连接器级</x:v>
      </x:c>
      <x:c r="F671" s="19" t="str">
        <x:v>LC</x:v>
      </x:c>
    </x:row>
    <x:row r="672" ht="15" hidden="0" customHeight="1">
      <x:c r="A672" s="19" t="str">
        <x:v>800-O112-FR4-8E4O-SIPH</x:v>
      </x:c>
      <x:c r="B672" s="19" t="str">
        <x:v>C053</x:v>
      </x:c>
      <x:c r="C672" s="19" t="n">
        <x:v>1</x:v>
      </x:c>
      <x:c r="D672" s="19" t="str">
        <x:v>必需</x:v>
      </x:c>
      <x:c r="E672" s="19" t="str">
        <x:v>热管理</x:v>
      </x:c>
      <x:c r="F672" s="19" t="str">
        <x:v>TIM</x:v>
      </x:c>
    </x:row>
    <x:row r="673" ht="15" hidden="0" customHeight="1">
      <x:c r="A673" s="19" t="str">
        <x:v>800-O112-FR4-8E4O-SIPH</x:v>
      </x:c>
      <x:c r="B673" s="19" t="str">
        <x:v>C054</x:v>
      </x:c>
      <x:c r="C673" s="19" t="n">
        <x:v>1</x:v>
      </x:c>
      <x:c r="D673" s="19" t="str">
        <x:v>按实现</x:v>
      </x:c>
      <x:c r="E673" s="19" t="str">
        <x:v>封装</x:v>
      </x:c>
      <x:c r="F673" s="19" t="str">
        <x:v>光学胶/底填</x:v>
      </x:c>
    </x:row>
    <x:row r="674" ht="15" hidden="0" customHeight="1">
      <x:c r="A674" s="19" t="str">
        <x:v>800-O112-2DR4-LPO-SIPH</x:v>
      </x:c>
      <x:c r="B674" s="19" t="str">
        <x:v>C001</x:v>
      </x:c>
      <x:c r="C674" s="19" t="n">
        <x:v>1</x:v>
      </x:c>
      <x:c r="D674" s="19" t="str">
        <x:v>必需</x:v>
      </x:c>
      <x:c r="E674" s="19" t="str">
        <x:v>形态级</x:v>
      </x:c>
      <x:c r="F674" s="19" t="str">
        <x:v>OSFP112</x:v>
      </x:c>
    </x:row>
    <x:row r="675" ht="15" hidden="0" customHeight="1">
      <x:c r="A675" s="19" t="str">
        <x:v>800-O112-2DR4-LPO-SIPH</x:v>
      </x:c>
      <x:c r="B675" s="19" t="str">
        <x:v>C002</x:v>
      </x:c>
      <x:c r="C675" s="19" t="n">
        <x:v>1</x:v>
      </x:c>
      <x:c r="D675" s="19" t="str">
        <x:v>必需</x:v>
      </x:c>
      <x:c r="E675" s="19" t="str">
        <x:v>形态级</x:v>
      </x:c>
      <x:c r="F675" s="19" t="str">
        <x:v>散热能力需按功耗校核</x:v>
      </x:c>
    </x:row>
    <x:row r="676" ht="15" hidden="0" customHeight="1">
      <x:c r="A676" s="19" t="str">
        <x:v>800-O112-2DR4-LPO-SIPH</x:v>
      </x:c>
      <x:c r="B676" s="19" t="str">
        <x:v>C003</x:v>
      </x:c>
      <x:c r="C676" s="19" t="n">
        <x:v>1</x:v>
      </x:c>
      <x:c r="D676" s="19" t="str">
        <x:v>必需</x:v>
      </x:c>
      <x:c r="E676" s="19" t="str">
        <x:v>形态级</x:v>
      </x:c>
      <x:c r="F676" s="19" t="str">
        <x:v>CPO无传统前面板模块拉环</x:v>
      </x:c>
    </x:row>
    <x:row r="677" ht="15" hidden="0" customHeight="1">
      <x:c r="A677" s="19" t="str">
        <x:v>800-O112-2DR4-LPO-SIPH</x:v>
      </x:c>
      <x:c r="B677" s="19" t="str">
        <x:v>C004</x:v>
      </x:c>
      <x:c r="C677" s="19" t="n">
        <x:v>1</x:v>
      </x:c>
      <x:c r="D677" s="19" t="str">
        <x:v>必需</x:v>
      </x:c>
      <x:c r="E677" s="19" t="str">
        <x:v>代表性</x:v>
      </x:c>
      <x:c r="F677" s="19" t="str">
        <x:v>EMI屏蔽结构依外壳设计</x:v>
      </x:c>
    </x:row>
    <x:row r="678" ht="15" hidden="0" customHeight="1">
      <x:c r="A678" s="19" t="str">
        <x:v>800-O112-2DR4-LPO-SIPH</x:v>
      </x:c>
      <x:c r="B678" s="19" t="str">
        <x:v>C005</x:v>
      </x:c>
      <x:c r="C678" s="19" t="n">
        <x:v>1</x:v>
      </x:c>
      <x:c r="D678" s="19" t="str">
        <x:v>必需</x:v>
      </x:c>
      <x:c r="E678" s="19" t="str">
        <x:v>代表性</x:v>
      </x:c>
      <x:c r="F678" s="19" t="str">
        <x:v>CPO可采用封装基板+系统PCB</x:v>
      </x:c>
    </x:row>
    <x:row r="679" ht="15" hidden="0" customHeight="1">
      <x:c r="A679" s="19" t="str">
        <x:v>800-O112-2DR4-LPO-SIPH</x:v>
      </x:c>
      <x:c r="B679" s="19" t="str">
        <x:v>C056</x:v>
      </x:c>
      <x:c r="C679" s="19" t="n">
        <x:v>1</x:v>
      </x:c>
      <x:c r="D679" s="19" t="str">
        <x:v>必需</x:v>
      </x:c>
      <x:c r="E679" s="19" t="str">
        <x:v>形态级</x:v>
      </x:c>
      <x:c r="F679" s="19" t="str">
        <x:v>可插拔模块主机侧金手指/电连接器</x:v>
      </x:c>
    </x:row>
    <x:row r="680" ht="15" hidden="0" customHeight="1">
      <x:c r="A680" s="19" t="str">
        <x:v>800-O112-2DR4-LPO-SIPH</x:v>
      </x:c>
      <x:c r="B680" s="19" t="str">
        <x:v>C057</x:v>
      </x:c>
      <x:c r="C680" s="19" t="n">
        <x:v>1</x:v>
      </x:c>
      <x:c r="D680" s="19" t="str">
        <x:v>系统配套</x:v>
      </x:c>
      <x:c r="E680" s="19" t="str">
        <x:v>系统级</x:v>
      </x:c>
      <x:c r="F680" s="19" t="str">
        <x:v>cage不属于模块内采购BOM</x:v>
      </x:c>
    </x:row>
    <x:row r="681" ht="15" hidden="0" customHeight="1">
      <x:c r="A681" s="19" t="str">
        <x:v>800-O112-2DR4-LPO-SIPH</x:v>
      </x:c>
      <x:c r="B681" s="19" t="str">
        <x:v>C007</x:v>
      </x:c>
      <x:c r="C681" s="19" t="n">
        <x:v>1</x:v>
      </x:c>
      <x:c r="D681" s="19" t="str">
        <x:v>必需</x:v>
      </x:c>
      <x:c r="E681" s="19" t="str">
        <x:v>代表性</x:v>
      </x:c>
      <x:c r="F681" s="19" t="str">
        <x:v>光引擎承载基板/Interposer</x:v>
      </x:c>
    </x:row>
    <x:row r="682" ht="15" hidden="0" customHeight="1">
      <x:c r="A682" s="19" t="str">
        <x:v>800-O112-2DR4-LPO-SIPH</x:v>
      </x:c>
      <x:c r="B682" s="19" t="str">
        <x:v>C008</x:v>
      </x:c>
      <x:c r="C682" s="19" t="n">
        <x:v>1</x:v>
      </x:c>
      <x:c r="D682" s="19" t="str">
        <x:v>必需</x:v>
      </x:c>
      <x:c r="E682" s="19" t="str">
        <x:v>代表性</x:v>
      </x:c>
      <x:c r="F682" s="19" t="str">
        <x:v>数量按功耗域，不等于精确颗数</x:v>
      </x:c>
    </x:row>
    <x:row r="683" ht="15" hidden="0" customHeight="1">
      <x:c r="A683" s="19" t="str">
        <x:v>800-O112-2DR4-LPO-SIPH</x:v>
      </x:c>
      <x:c r="B683" s="19" t="str">
        <x:v>C009</x:v>
      </x:c>
      <x:c r="C683" s="19" t="n">
        <x:v>1</x:v>
      </x:c>
      <x:c r="D683" s="19" t="str">
        <x:v>必需</x:v>
      </x:c>
      <x:c r="E683" s="19" t="str">
        <x:v>管理接口</x:v>
      </x:c>
      <x:c r="F683" s="19" t="str">
        <x:v>可插拔模块使用CMIS管理</x:v>
      </x:c>
    </x:row>
    <x:row r="684" ht="15" hidden="0" customHeight="1">
      <x:c r="A684" s="19" t="str">
        <x:v>800-O112-2DR4-LPO-SIPH</x:v>
      </x:c>
      <x:c r="B684" s="19" t="str">
        <x:v>C010</x:v>
      </x:c>
      <x:c r="C684" s="19" t="n">
        <x:v>1</x:v>
      </x:c>
      <x:c r="D684" s="19" t="str">
        <x:v>按实现</x:v>
      </x:c>
      <x:c r="E684" s="19" t="str">
        <x:v>代表性</x:v>
      </x:c>
      <x:c r="F684" s="19" t="str">
        <x:v>模块控制与校准</x:v>
      </x:c>
    </x:row>
    <x:row r="685" ht="15" hidden="0" customHeight="1">
      <x:c r="A685" s="19" t="str">
        <x:v>800-O112-2DR4-LPO-SIPH</x:v>
      </x:c>
      <x:c r="B685" s="19" t="str">
        <x:v>C058</x:v>
      </x:c>
      <x:c r="C685" s="19" t="n">
        <x:v>1</x:v>
      </x:c>
      <x:c r="D685" s="19" t="str">
        <x:v>按实现</x:v>
      </x:c>
      <x:c r="E685" s="19" t="str">
        <x:v>时钟架构</x:v>
      </x:c>
      <x:c r="F685" s="19" t="str">
        <x:v>可由主机提供REFCLK或使用模块内时钟器件</x:v>
      </x:c>
    </x:row>
    <x:row r="686" ht="15" hidden="0" customHeight="1">
      <x:c r="A686" s="19" t="str">
        <x:v>800-O112-2DR4-LPO-SIPH</x:v>
      </x:c>
      <x:c r="B686" s="19" t="str">
        <x:v>C059</x:v>
      </x:c>
      <x:c r="C686" s="19" t="n">
        <x:v>1</x:v>
      </x:c>
      <x:c r="D686" s="19" t="str">
        <x:v>必需/可集成</x:v>
      </x:c>
      <x:c r="E686" s="19" t="str">
        <x:v>监控功能</x:v>
      </x:c>
      <x:c r="F686" s="19" t="str">
        <x:v>CMIS/控制系统温度监测</x:v>
      </x:c>
    </x:row>
    <x:row r="687" ht="15" hidden="0" customHeight="1">
      <x:c r="A687" s="19" t="str">
        <x:v>800-O112-2DR4-LPO-SIPH</x:v>
      </x:c>
      <x:c r="B687" s="19" t="str">
        <x:v>C060</x:v>
      </x:c>
      <x:c r="C687" s="19" t="n">
        <x:v>1</x:v>
      </x:c>
      <x:c r="D687" s="19" t="str">
        <x:v>必需</x:v>
      </x:c>
      <x:c r="E687" s="19" t="str">
        <x:v>器件组</x:v>
      </x:c>
      <x:c r="F687" s="19" t="str">
        <x:v>R/C/L数量不按lane数表示</x:v>
      </x:c>
    </x:row>
    <x:row r="688" ht="15" hidden="0" customHeight="1">
      <x:c r="A688" s="19" t="str">
        <x:v>800-O112-2DR4-LPO-SIPH</x:v>
      </x:c>
      <x:c r="B688" s="19" t="str">
        <x:v>C062</x:v>
      </x:c>
      <x:c r="C688" s="19" t="n">
        <x:v>1</x:v>
      </x:c>
      <x:c r="D688" s="19" t="str">
        <x:v>按封装</x:v>
      </x:c>
      <x:c r="E688" s="19" t="str">
        <x:v>互连工艺</x:v>
      </x:c>
      <x:c r="F688" s="19" t="str">
        <x:v>flip-chip平台使用</x:v>
      </x:c>
    </x:row>
    <x:row r="689" ht="15" hidden="0" customHeight="1">
      <x:c r="A689" s="19" t="str">
        <x:v>800-O112-2DR4-LPO-SIPH</x:v>
      </x:c>
      <x:c r="B689" s="19" t="str">
        <x:v>C063</x:v>
      </x:c>
      <x:c r="C689" s="19" t="n">
        <x:v>1</x:v>
      </x:c>
      <x:c r="D689" s="19" t="str">
        <x:v>按封装</x:v>
      </x:c>
      <x:c r="E689" s="19" t="str">
        <x:v>互连工艺</x:v>
      </x:c>
      <x:c r="F689" s="19" t="str">
        <x:v>wire/ribbon bond平台使用</x:v>
      </x:c>
    </x:row>
    <x:row r="690" ht="15" hidden="0" customHeight="1">
      <x:c r="A690" s="19" t="str">
        <x:v>800-O112-2DR4-LPO-SIPH</x:v>
      </x:c>
      <x:c r="B690" s="19" t="str">
        <x:v>C014</x:v>
      </x:c>
      <x:c r="C690" s="19" t="n">
        <x:v>8</x:v>
      </x:c>
      <x:c r="D690" s="19" t="str">
        <x:v>必需</x:v>
      </x:c>
      <x:c r="E690" s="19" t="str">
        <x:v>功能通道数</x:v>
      </x:c>
      <x:c r="F690" s="19" t="str">
        <x:v>可能为阵列/多通道die，非精确封装颗数</x:v>
      </x:c>
    </x:row>
    <x:row r="691" ht="15" hidden="0" customHeight="1">
      <x:c r="A691" s="19" t="str">
        <x:v>800-O112-2DR4-LPO-SIPH</x:v>
      </x:c>
      <x:c r="B691" s="19" t="str">
        <x:v>C015</x:v>
      </x:c>
      <x:c r="C691" s="19" t="n">
        <x:v>8</x:v>
      </x:c>
      <x:c r="D691" s="19" t="str">
        <x:v>必需</x:v>
      </x:c>
      <x:c r="E691" s="19" t="str">
        <x:v>功能通道数</x:v>
      </x:c>
      <x:c r="F691" s="19" t="str">
        <x:v>可能为阵列/多通道die，非精确封装颗数</x:v>
      </x:c>
    </x:row>
    <x:row r="692" ht="15" hidden="0" customHeight="1">
      <x:c r="A692" s="19" t="str">
        <x:v>800-O112-2DR4-LPO-SIPH</x:v>
      </x:c>
      <x:c r="B692" s="19" t="str">
        <x:v>C025</x:v>
      </x:c>
      <x:c r="C692" s="19" t="n">
        <x:v>1</x:v>
      </x:c>
      <x:c r="D692" s="19" t="str">
        <x:v>必需</x:v>
      </x:c>
      <x:c r="E692" s="19" t="str">
        <x:v>PIC级</x:v>
      </x:c>
      <x:c r="F692" s="19" t="str">
        <x:v>具体是否MZM或MRR需供应商证据</x:v>
      </x:c>
    </x:row>
    <x:row r="693" ht="15" hidden="0" customHeight="1">
      <x:c r="A693" s="19" t="str">
        <x:v>800-O112-2DR4-LPO-SIPH</x:v>
      </x:c>
      <x:c r="B693" s="19" t="str">
        <x:v>C026</x:v>
      </x:c>
      <x:c r="C693" s="19" t="n">
        <x:v>8</x:v>
      </x:c>
      <x:c r="D693" s="19" t="str">
        <x:v>代表性</x:v>
      </x:c>
      <x:c r="E693" s="19" t="str">
        <x:v>微结构</x:v>
      </x:c>
      <x:c r="F693" s="19" t="str">
        <x:v>默认以MZM表示，若厂商披露MRR应改用C027</x:v>
      </x:c>
    </x:row>
    <x:row r="694" ht="15" hidden="0" customHeight="1">
      <x:c r="A694" s="19" t="str">
        <x:v>800-O112-2DR4-LPO-SIPH</x:v>
      </x:c>
      <x:c r="B694" s="19" t="str">
        <x:v>C028</x:v>
      </x:c>
      <x:c r="C694" s="19" t="n">
        <x:v>8</x:v>
      </x:c>
      <x:c r="D694" s="19" t="str">
        <x:v>内嵌</x:v>
      </x:c>
      <x:c r="E694" s="19" t="str">
        <x:v>微结构</x:v>
      </x:c>
      <x:c r="F694" s="19" t="str">
        <x:v>相移器</x:v>
      </x:c>
    </x:row>
    <x:row r="695" ht="15" hidden="0" customHeight="1">
      <x:c r="A695" s="19" t="str">
        <x:v>800-O112-2DR4-LPO-SIPH</x:v>
      </x:c>
      <x:c r="B695" s="19" t="str">
        <x:v>C029</x:v>
      </x:c>
      <x:c r="C695" s="19" t="n">
        <x:v>8</x:v>
      </x:c>
      <x:c r="D695" s="19" t="str">
        <x:v>内嵌</x:v>
      </x:c>
      <x:c r="E695" s="19" t="str">
        <x:v>微结构</x:v>
      </x:c>
      <x:c r="F695" s="19" t="str">
        <x:v>片上光路</x:v>
      </x:c>
    </x:row>
    <x:row r="696" ht="15" hidden="0" customHeight="1">
      <x:c r="A696" s="19" t="str">
        <x:v>800-O112-2DR4-LPO-SIPH</x:v>
      </x:c>
      <x:c r="B696" s="19" t="str">
        <x:v>C064</x:v>
      </x:c>
      <x:c r="C696" s="19" t="n">
        <x:v>1</x:v>
      </x:c>
      <x:c r="D696" s="19" t="str">
        <x:v>按实现</x:v>
      </x:c>
      <x:c r="E696" s="19" t="str">
        <x:v>微结构</x:v>
      </x:c>
      <x:c r="F696" s="19" t="str">
        <x:v>偏振管理</x:v>
      </x:c>
    </x:row>
    <x:row r="697" ht="15" hidden="0" customHeight="1">
      <x:c r="A697" s="19" t="str">
        <x:v>800-O112-2DR4-LPO-SIPH</x:v>
      </x:c>
      <x:c r="B697" s="19" t="str">
        <x:v>C065</x:v>
      </x:c>
      <x:c r="C697" s="19" t="n">
        <x:v>1</x:v>
      </x:c>
      <x:c r="D697" s="19" t="str">
        <x:v>按实现</x:v>
      </x:c>
      <x:c r="E697" s="19" t="str">
        <x:v>微结构</x:v>
      </x:c>
      <x:c r="F697" s="19" t="str">
        <x:v>抽光监控</x:v>
      </x:c>
    </x:row>
    <x:row r="698" ht="15" hidden="0" customHeight="1">
      <x:c r="A698" s="19" t="str">
        <x:v>800-O112-2DR4-LPO-SIPH</x:v>
      </x:c>
      <x:c r="B698" s="19" t="str">
        <x:v>C066</x:v>
      </x:c>
      <x:c r="C698" s="19" t="n">
        <x:v>1</x:v>
      </x:c>
      <x:c r="D698" s="19" t="str">
        <x:v>按实现</x:v>
      </x:c>
      <x:c r="E698" s="19" t="str">
        <x:v>微结构</x:v>
      </x:c>
      <x:c r="F698" s="19" t="str">
        <x:v>微环/AWG/滤波结构热调谐</x:v>
      </x:c>
    </x:row>
    <x:row r="699" ht="15" hidden="0" customHeight="1">
      <x:c r="A699" s="19" t="str">
        <x:v>800-O112-2DR4-LPO-SIPH</x:v>
      </x:c>
      <x:c r="B699" s="19" t="str">
        <x:v>C030</x:v>
      </x:c>
      <x:c r="C699" s="19" t="n">
        <x:v>8</x:v>
      </x:c>
      <x:c r="D699" s="19" t="str">
        <x:v>必需</x:v>
      </x:c>
      <x:c r="E699" s="19" t="str">
        <x:v>光通道</x:v>
      </x:c>
      <x:c r="F699" s="19" t="str">
        <x:v>Ge/Si PIN</x:v>
      </x:c>
    </x:row>
    <x:row r="700" ht="15" hidden="0" customHeight="1">
      <x:c r="A700" s="19" t="str">
        <x:v>800-O112-2DR4-LPO-SIPH</x:v>
      </x:c>
      <x:c r="B700" s="19" t="str">
        <x:v>C039</x:v>
      </x:c>
      <x:c r="C700" s="19" t="n">
        <x:v>8</x:v>
      </x:c>
      <x:c r="D700" s="19" t="str">
        <x:v>二选一</x:v>
      </x:c>
      <x:c r="E700" s="19" t="str">
        <x:v>耦合方式</x:v>
      </x:c>
      <x:c r="F700" s="19" t="str">
        <x:v>与边缘耦合器二选一或混用</x:v>
      </x:c>
    </x:row>
    <x:row r="701" ht="15" hidden="0" customHeight="1">
      <x:c r="A701" s="19" t="str">
        <x:v>800-O112-2DR4-LPO-SIPH</x:v>
      </x:c>
      <x:c r="B701" s="19" t="str">
        <x:v>C040</x:v>
      </x:c>
      <x:c r="C701" s="19" t="n">
        <x:v>8</x:v>
      </x:c>
      <x:c r="D701" s="19" t="str">
        <x:v>二选一</x:v>
      </x:c>
      <x:c r="E701" s="19" t="str">
        <x:v>耦合方式</x:v>
      </x:c>
      <x:c r="F701" s="19" t="str">
        <x:v>与光栅耦合器二选一或混用</x:v>
      </x:c>
    </x:row>
    <x:row r="702" ht="15" hidden="0" customHeight="1">
      <x:c r="A702" s="19" t="str">
        <x:v>800-O112-2DR4-LPO-SIPH</x:v>
      </x:c>
      <x:c r="B702" s="19" t="str">
        <x:v>C023</x:v>
      </x:c>
      <x:c r="C702" s="19" t="n">
        <x:v>1</x:v>
      </x:c>
      <x:c r="D702" s="19" t="str">
        <x:v>必需</x:v>
      </x:c>
      <x:c r="E702" s="19" t="str">
        <x:v>光源级</x:v>
      </x:c>
      <x:c r="F702" s="19" t="str">
        <x:v>可为多波长/多激光阵列</x:v>
      </x:c>
    </x:row>
    <x:row r="703" ht="15" hidden="0" customHeight="1">
      <x:c r="A703" s="19" t="str">
        <x:v>800-O112-2DR4-LPO-SIPH</x:v>
      </x:c>
      <x:c r="B703" s="19" t="str">
        <x:v>C022</x:v>
      </x:c>
      <x:c r="C703" s="19" t="n">
        <x:v>1</x:v>
      </x:c>
      <x:c r="D703" s="19" t="str">
        <x:v>内嵌</x:v>
      </x:c>
      <x:c r="E703" s="19" t="str">
        <x:v>微结构</x:v>
      </x:c>
      <x:c r="F703" s="19" t="str">
        <x:v>CW DFB内部光栅</x:v>
      </x:c>
    </x:row>
    <x:row r="704" ht="15" hidden="0" customHeight="1">
      <x:c r="A704" s="19" t="str">
        <x:v>800-O112-2DR4-LPO-SIPH</x:v>
      </x:c>
      <x:c r="B704" s="19" t="str">
        <x:v>C049</x:v>
      </x:c>
      <x:c r="C704" s="19" t="n">
        <x:v>8</x:v>
      </x:c>
      <x:c r="D704" s="19" t="str">
        <x:v>必需</x:v>
      </x:c>
      <x:c r="E704" s="19" t="str">
        <x:v>光纤通道</x:v>
      </x:c>
      <x:c r="F704" s="19" t="str">
        <x:v>PSM SMF</x:v>
      </x:c>
    </x:row>
    <x:row r="705" ht="15" hidden="0" customHeight="1">
      <x:c r="A705" s="19"/>
      <x:c r="B705" s="19"/>
      <x:c r="C705" s="19"/>
      <x:c r="D705" s="19"/>
      <x:c r="E705" s="19"/>
      <x:c r="F705" s="19"/>
    </x:row>
    <x:row r="706" ht="15" hidden="0" customHeight="1">
      <x:c r="A706" s="19"/>
      <x:c r="B706" s="19"/>
      <x:c r="C706" s="19"/>
      <x:c r="D706" s="19"/>
      <x:c r="E706" s="19"/>
      <x:c r="F706" s="19"/>
    </x:row>
    <x:row r="707" ht="15" hidden="0" customHeight="1">
      <x:c r="A707" s="19"/>
      <x:c r="B707" s="19"/>
      <x:c r="C707" s="19"/>
      <x:c r="D707" s="19"/>
      <x:c r="E707" s="19"/>
      <x:c r="F707" s="19"/>
    </x:row>
    <x:row r="708" ht="15" hidden="0" customHeight="1">
      <x:c r="A708" s="19" t="str">
        <x:v>800-O112-2DR4-LPO-SIPH</x:v>
      </x:c>
      <x:c r="B708" s="19" t="str">
        <x:v>C037</x:v>
      </x:c>
      <x:c r="C708" s="19" t="n">
        <x:v>8</x:v>
      </x:c>
      <x:c r="D708" s="19" t="str">
        <x:v>按实现</x:v>
      </x:c>
      <x:c r="E708" s="19" t="str">
        <x:v>光通道</x:v>
      </x:c>
      <x:c r="F708" s="19" t="str">
        <x:v>自由空间/阵列耦合时使用</x:v>
      </x:c>
    </x:row>
    <x:row r="709" ht="15" hidden="0" customHeight="1">
      <x:c r="A709" s="19" t="str">
        <x:v>800-O112-2DR4-LPO-SIPH</x:v>
      </x:c>
      <x:c r="B709" s="19" t="str">
        <x:v>C038</x:v>
      </x:c>
      <x:c r="C709" s="19" t="n">
        <x:v>8</x:v>
      </x:c>
      <x:c r="D709" s="19" t="str">
        <x:v>按实现</x:v>
      </x:c>
      <x:c r="E709" s="19" t="str">
        <x:v>光通道</x:v>
      </x:c>
      <x:c r="F709" s="19" t="str">
        <x:v>FAU可能按阵列封装，不等于单根数量</x:v>
      </x:c>
    </x:row>
    <x:row r="710" ht="15" hidden="0" customHeight="1">
      <x:c r="A710" s="19" t="str">
        <x:v>800-O112-2DR4-LPO-SIPH</x:v>
      </x:c>
      <x:c r="B710" s="19" t="str">
        <x:v>C044</x:v>
      </x:c>
      <x:c r="C710" s="19" t="n">
        <x:v>2</x:v>
      </x:c>
      <x:c r="D710" s="19" t="str">
        <x:v>必需</x:v>
      </x:c>
      <x:c r="E710" s="19" t="str">
        <x:v>连接器级</x:v>
      </x:c>
      <x:c r="F710" s="19" t="str">
        <x:v>Dual MPO12</x:v>
      </x:c>
    </x:row>
    <x:row r="711" ht="15" hidden="0" customHeight="1">
      <x:c r="A711" s="19" t="str">
        <x:v>800-O112-2DR4-LPO-SIPH</x:v>
      </x:c>
      <x:c r="B711" s="19" t="str">
        <x:v>C045</x:v>
      </x:c>
      <x:c r="C711" s="19" t="n">
        <x:v>2</x:v>
      </x:c>
      <x:c r="D711" s="19" t="str">
        <x:v>内嵌</x:v>
      </x:c>
      <x:c r="E711" s="19" t="str">
        <x:v>连接器级</x:v>
      </x:c>
      <x:c r="F711" s="19" t="str">
        <x:v>MT插芯</x:v>
      </x:c>
    </x:row>
    <x:row r="712" ht="15" hidden="0" customHeight="1">
      <x:c r="A712" s="19" t="str">
        <x:v>800-O112-2DR4-LPO-SIPH</x:v>
      </x:c>
      <x:c r="B712" s="19" t="str">
        <x:v>C046</x:v>
      </x:c>
      <x:c r="C712" s="19" t="n">
        <x:v>2</x:v>
      </x:c>
      <x:c r="D712" s="19" t="str">
        <x:v>内嵌</x:v>
      </x:c>
      <x:c r="E712" s="19" t="str">
        <x:v>连接器级</x:v>
      </x:c>
      <x:c r="F712" s="19" t="str">
        <x:v>导针与弹簧</x:v>
      </x:c>
    </x:row>
    <x:row r="713" ht="15" hidden="0" customHeight="1">
      <x:c r="A713" s="19" t="str">
        <x:v>800-O112-2DR4-LPO-SIPH</x:v>
      </x:c>
      <x:c r="B713" s="19" t="str">
        <x:v>C053</x:v>
      </x:c>
      <x:c r="C713" s="19" t="n">
        <x:v>1</x:v>
      </x:c>
      <x:c r="D713" s="19" t="str">
        <x:v>必需</x:v>
      </x:c>
      <x:c r="E713" s="19" t="str">
        <x:v>热管理</x:v>
      </x:c>
      <x:c r="F713" s="19" t="str">
        <x:v>TIM</x:v>
      </x:c>
    </x:row>
    <x:row r="714" ht="15" hidden="0" customHeight="1">
      <x:c r="A714" s="19" t="str">
        <x:v>800-O112-2DR4-LPO-SIPH</x:v>
      </x:c>
      <x:c r="B714" s="19" t="str">
        <x:v>C054</x:v>
      </x:c>
      <x:c r="C714" s="19" t="n">
        <x:v>1</x:v>
      </x:c>
      <x:c r="D714" s="19" t="str">
        <x:v>按实现</x:v>
      </x:c>
      <x:c r="E714" s="19" t="str">
        <x:v>封装</x:v>
      </x:c>
      <x:c r="F714" s="19" t="str">
        <x:v>光学胶/底填</x:v>
      </x:c>
    </x:row>
    <x:row r="715" ht="15" hidden="0" customHeight="1">
      <x:c r="A715" s="19" t="str">
        <x:v>800-O112-DR8-LRO-SIPH</x:v>
      </x:c>
      <x:c r="B715" s="19" t="str">
        <x:v>C001</x:v>
      </x:c>
      <x:c r="C715" s="19" t="n">
        <x:v>1</x:v>
      </x:c>
      <x:c r="D715" s="19" t="str">
        <x:v>必需</x:v>
      </x:c>
      <x:c r="E715" s="19" t="str">
        <x:v>形态级</x:v>
      </x:c>
      <x:c r="F715" s="19" t="str">
        <x:v>OSFP112</x:v>
      </x:c>
    </x:row>
    <x:row r="716" ht="15" hidden="0" customHeight="1">
      <x:c r="A716" s="19" t="str">
        <x:v>800-O112-DR8-LRO-SIPH</x:v>
      </x:c>
      <x:c r="B716" s="19" t="str">
        <x:v>C002</x:v>
      </x:c>
      <x:c r="C716" s="19" t="n">
        <x:v>1</x:v>
      </x:c>
      <x:c r="D716" s="19" t="str">
        <x:v>必需</x:v>
      </x:c>
      <x:c r="E716" s="19" t="str">
        <x:v>形态级</x:v>
      </x:c>
      <x:c r="F716" s="19" t="str">
        <x:v>散热能力需按功耗校核</x:v>
      </x:c>
    </x:row>
    <x:row r="717" ht="15" hidden="0" customHeight="1">
      <x:c r="A717" s="19" t="str">
        <x:v>800-O112-DR8-LRO-SIPH</x:v>
      </x:c>
      <x:c r="B717" s="19" t="str">
        <x:v>C003</x:v>
      </x:c>
      <x:c r="C717" s="19" t="n">
        <x:v>1</x:v>
      </x:c>
      <x:c r="D717" s="19" t="str">
        <x:v>必需</x:v>
      </x:c>
      <x:c r="E717" s="19" t="str">
        <x:v>形态级</x:v>
      </x:c>
      <x:c r="F717" s="19" t="str">
        <x:v>CPO无传统前面板模块拉环</x:v>
      </x:c>
    </x:row>
    <x:row r="718" ht="15" hidden="0" customHeight="1">
      <x:c r="A718" s="19" t="str">
        <x:v>800-O112-DR8-LRO-SIPH</x:v>
      </x:c>
      <x:c r="B718" s="19" t="str">
        <x:v>C004</x:v>
      </x:c>
      <x:c r="C718" s="19" t="n">
        <x:v>1</x:v>
      </x:c>
      <x:c r="D718" s="19" t="str">
        <x:v>必需</x:v>
      </x:c>
      <x:c r="E718" s="19" t="str">
        <x:v>代表性</x:v>
      </x:c>
      <x:c r="F718" s="19" t="str">
        <x:v>EMI屏蔽结构依外壳设计</x:v>
      </x:c>
    </x:row>
    <x:row r="719" ht="15" hidden="0" customHeight="1">
      <x:c r="A719" s="19" t="str">
        <x:v>800-O112-DR8-LRO-SIPH</x:v>
      </x:c>
      <x:c r="B719" s="19" t="str">
        <x:v>C005</x:v>
      </x:c>
      <x:c r="C719" s="19" t="n">
        <x:v>1</x:v>
      </x:c>
      <x:c r="D719" s="19" t="str">
        <x:v>必需</x:v>
      </x:c>
      <x:c r="E719" s="19" t="str">
        <x:v>代表性</x:v>
      </x:c>
      <x:c r="F719" s="19" t="str">
        <x:v>CPO可采用封装基板+系统PCB</x:v>
      </x:c>
    </x:row>
    <x:row r="720" ht="15" hidden="0" customHeight="1">
      <x:c r="A720" s="19" t="str">
        <x:v>800-O112-DR8-LRO-SIPH</x:v>
      </x:c>
      <x:c r="B720" s="19" t="str">
        <x:v>C056</x:v>
      </x:c>
      <x:c r="C720" s="19" t="n">
        <x:v>1</x:v>
      </x:c>
      <x:c r="D720" s="19" t="str">
        <x:v>必需</x:v>
      </x:c>
      <x:c r="E720" s="19" t="str">
        <x:v>形态级</x:v>
      </x:c>
      <x:c r="F720" s="19" t="str">
        <x:v>可插拔模块主机侧金手指/电连接器</x:v>
      </x:c>
    </x:row>
    <x:row r="721" ht="15" hidden="0" customHeight="1">
      <x:c r="A721" s="19" t="str">
        <x:v>800-O112-DR8-LRO-SIPH</x:v>
      </x:c>
      <x:c r="B721" s="19" t="str">
        <x:v>C057</x:v>
      </x:c>
      <x:c r="C721" s="19" t="n">
        <x:v>1</x:v>
      </x:c>
      <x:c r="D721" s="19" t="str">
        <x:v>系统配套</x:v>
      </x:c>
      <x:c r="E721" s="19" t="str">
        <x:v>系统级</x:v>
      </x:c>
      <x:c r="F721" s="19" t="str">
        <x:v>cage不属于模块内采购BOM</x:v>
      </x:c>
    </x:row>
    <x:row r="722" ht="15" hidden="0" customHeight="1">
      <x:c r="A722" s="19" t="str">
        <x:v>800-O112-DR8-LRO-SIPH</x:v>
      </x:c>
      <x:c r="B722" s="19" t="str">
        <x:v>C007</x:v>
      </x:c>
      <x:c r="C722" s="19" t="n">
        <x:v>1</x:v>
      </x:c>
      <x:c r="D722" s="19" t="str">
        <x:v>必需</x:v>
      </x:c>
      <x:c r="E722" s="19" t="str">
        <x:v>代表性</x:v>
      </x:c>
      <x:c r="F722" s="19" t="str">
        <x:v>光引擎承载基板/Interposer</x:v>
      </x:c>
    </x:row>
    <x:row r="723" ht="15" hidden="0" customHeight="1">
      <x:c r="A723" s="19" t="str">
        <x:v>800-O112-DR8-LRO-SIPH</x:v>
      </x:c>
      <x:c r="B723" s="19" t="str">
        <x:v>C008</x:v>
      </x:c>
      <x:c r="C723" s="19" t="n">
        <x:v>1</x:v>
      </x:c>
      <x:c r="D723" s="19" t="str">
        <x:v>必需</x:v>
      </x:c>
      <x:c r="E723" s="19" t="str">
        <x:v>代表性</x:v>
      </x:c>
      <x:c r="F723" s="19" t="str">
        <x:v>数量按功耗域，不等于精确颗数</x:v>
      </x:c>
    </x:row>
    <x:row r="724" ht="15" hidden="0" customHeight="1">
      <x:c r="A724" s="19" t="str">
        <x:v>800-O112-DR8-LRO-SIPH</x:v>
      </x:c>
      <x:c r="B724" s="19" t="str">
        <x:v>C009</x:v>
      </x:c>
      <x:c r="C724" s="19" t="n">
        <x:v>1</x:v>
      </x:c>
      <x:c r="D724" s="19" t="str">
        <x:v>必需</x:v>
      </x:c>
      <x:c r="E724" s="19" t="str">
        <x:v>管理接口</x:v>
      </x:c>
      <x:c r="F724" s="19" t="str">
        <x:v>可插拔模块使用CMIS管理</x:v>
      </x:c>
    </x:row>
    <x:row r="725" ht="15" hidden="0" customHeight="1">
      <x:c r="A725" s="19" t="str">
        <x:v>800-O112-DR8-LRO-SIPH</x:v>
      </x:c>
      <x:c r="B725" s="19" t="str">
        <x:v>C010</x:v>
      </x:c>
      <x:c r="C725" s="19" t="n">
        <x:v>1</x:v>
      </x:c>
      <x:c r="D725" s="19" t="str">
        <x:v>按实现</x:v>
      </x:c>
      <x:c r="E725" s="19" t="str">
        <x:v>代表性</x:v>
      </x:c>
      <x:c r="F725" s="19" t="str">
        <x:v>模块控制与校准</x:v>
      </x:c>
    </x:row>
    <x:row r="726" ht="15" hidden="0" customHeight="1">
      <x:c r="A726" s="19" t="str">
        <x:v>800-O112-DR8-LRO-SIPH</x:v>
      </x:c>
      <x:c r="B726" s="19" t="str">
        <x:v>C058</x:v>
      </x:c>
      <x:c r="C726" s="19" t="n">
        <x:v>1</x:v>
      </x:c>
      <x:c r="D726" s="19" t="str">
        <x:v>按实现</x:v>
      </x:c>
      <x:c r="E726" s="19" t="str">
        <x:v>时钟架构</x:v>
      </x:c>
      <x:c r="F726" s="19" t="str">
        <x:v>可由主机提供REFCLK或使用模块内时钟器件</x:v>
      </x:c>
    </x:row>
    <x:row r="727" ht="15" hidden="0" customHeight="1">
      <x:c r="A727" s="19" t="str">
        <x:v>800-O112-DR8-LRO-SIPH</x:v>
      </x:c>
      <x:c r="B727" s="19" t="str">
        <x:v>C059</x:v>
      </x:c>
      <x:c r="C727" s="19" t="n">
        <x:v>1</x:v>
      </x:c>
      <x:c r="D727" s="19" t="str">
        <x:v>必需/可集成</x:v>
      </x:c>
      <x:c r="E727" s="19" t="str">
        <x:v>监控功能</x:v>
      </x:c>
      <x:c r="F727" s="19" t="str">
        <x:v>CMIS/控制系统温度监测</x:v>
      </x:c>
    </x:row>
    <x:row r="728" ht="15" hidden="0" customHeight="1">
      <x:c r="A728" s="19" t="str">
        <x:v>800-O112-DR8-LRO-SIPH</x:v>
      </x:c>
      <x:c r="B728" s="19" t="str">
        <x:v>C060</x:v>
      </x:c>
      <x:c r="C728" s="19" t="n">
        <x:v>1</x:v>
      </x:c>
      <x:c r="D728" s="19" t="str">
        <x:v>必需</x:v>
      </x:c>
      <x:c r="E728" s="19" t="str">
        <x:v>器件组</x:v>
      </x:c>
      <x:c r="F728" s="19" t="str">
        <x:v>R/C/L数量不按lane数表示</x:v>
      </x:c>
    </x:row>
    <x:row r="729" ht="15" hidden="0" customHeight="1">
      <x:c r="A729" s="19" t="str">
        <x:v>800-O112-DR8-LRO-SIPH</x:v>
      </x:c>
      <x:c r="B729" s="19" t="str">
        <x:v>C062</x:v>
      </x:c>
      <x:c r="C729" s="19" t="n">
        <x:v>1</x:v>
      </x:c>
      <x:c r="D729" s="19" t="str">
        <x:v>按封装</x:v>
      </x:c>
      <x:c r="E729" s="19" t="str">
        <x:v>互连工艺</x:v>
      </x:c>
      <x:c r="F729" s="19" t="str">
        <x:v>flip-chip平台使用</x:v>
      </x:c>
    </x:row>
    <x:row r="730" ht="15" hidden="0" customHeight="1">
      <x:c r="A730" s="19" t="str">
        <x:v>800-O112-DR8-LRO-SIPH</x:v>
      </x:c>
      <x:c r="B730" s="19" t="str">
        <x:v>C063</x:v>
      </x:c>
      <x:c r="C730" s="19" t="n">
        <x:v>1</x:v>
      </x:c>
      <x:c r="D730" s="19" t="str">
        <x:v>按封装</x:v>
      </x:c>
      <x:c r="E730" s="19" t="str">
        <x:v>互连工艺</x:v>
      </x:c>
      <x:c r="F730" s="19" t="str">
        <x:v>wire/ribbon bond平台使用</x:v>
      </x:c>
    </x:row>
    <x:row r="731" ht="15" hidden="0" customHeight="1">
      <x:c r="A731" s="19" t="str">
        <x:v>800-O112-DR8-LRO-SIPH</x:v>
      </x:c>
      <x:c r="B731" s="19" t="str">
        <x:v>C011</x:v>
      </x:c>
      <x:c r="C731" s="19" t="n">
        <x:v>1</x:v>
      </x:c>
      <x:c r="D731" s="19" t="str">
        <x:v>按实现</x:v>
      </x:c>
      <x:c r="E731" s="19" t="str">
        <x:v>架构级</x:v>
      </x:c>
      <x:c r="F731" s="19" t="str">
        <x:v>Rx侧retimer/厂商方案</x:v>
      </x:c>
    </x:row>
    <x:row r="732" ht="15" hidden="0" customHeight="1">
      <x:c r="A732" s="19" t="str">
        <x:v>800-O112-DR8-LRO-SIPH</x:v>
      </x:c>
      <x:c r="B732" s="19" t="str">
        <x:v>C013</x:v>
      </x:c>
      <x:c r="C732" s="19" t="n">
        <x:v>1</x:v>
      </x:c>
      <x:c r="D732" s="19" t="str">
        <x:v>必需</x:v>
      </x:c>
      <x:c r="E732" s="19" t="str">
        <x:v>架构级</x:v>
      </x:c>
      <x:c r="F732" s="19" t="str">
        <x:v>LRO</x:v>
      </x:c>
    </x:row>
    <x:row r="733" ht="15" hidden="0" customHeight="1">
      <x:c r="A733" s="19" t="str">
        <x:v>800-O112-DR8-LRO-SIPH</x:v>
      </x:c>
      <x:c r="B733" s="19" t="str">
        <x:v>C014</x:v>
      </x:c>
      <x:c r="C733" s="19" t="n">
        <x:v>8</x:v>
      </x:c>
      <x:c r="D733" s="19" t="str">
        <x:v>必需</x:v>
      </x:c>
      <x:c r="E733" s="19" t="str">
        <x:v>功能通道数</x:v>
      </x:c>
      <x:c r="F733" s="19" t="str">
        <x:v>可能为阵列/多通道die，非精确封装颗数</x:v>
      </x:c>
    </x:row>
    <x:row r="734" ht="15" hidden="0" customHeight="1">
      <x:c r="A734" s="19" t="str">
        <x:v>800-O112-DR8-LRO-SIPH</x:v>
      </x:c>
      <x:c r="B734" s="19" t="str">
        <x:v>C015</x:v>
      </x:c>
      <x:c r="C734" s="19" t="n">
        <x:v>8</x:v>
      </x:c>
      <x:c r="D734" s="19" t="str">
        <x:v>必需</x:v>
      </x:c>
      <x:c r="E734" s="19" t="str">
        <x:v>功能通道数</x:v>
      </x:c>
      <x:c r="F734" s="19" t="str">
        <x:v>可能为阵列/多通道die，非精确封装颗数</x:v>
      </x:c>
    </x:row>
    <x:row r="735" ht="15" hidden="0" customHeight="1">
      <x:c r="A735" s="19" t="str">
        <x:v>800-O112-DR8-LRO-SIPH</x:v>
      </x:c>
      <x:c r="B735" s="19" t="str">
        <x:v>C025</x:v>
      </x:c>
      <x:c r="C735" s="19" t="n">
        <x:v>1</x:v>
      </x:c>
      <x:c r="D735" s="19" t="str">
        <x:v>必需</x:v>
      </x:c>
      <x:c r="E735" s="19" t="str">
        <x:v>PIC级</x:v>
      </x:c>
      <x:c r="F735" s="19" t="str">
        <x:v>具体是否MZM或MRR需供应商证据</x:v>
      </x:c>
    </x:row>
    <x:row r="736" ht="15" hidden="0" customHeight="1">
      <x:c r="A736" s="19" t="str">
        <x:v>800-O112-DR8-LRO-SIPH</x:v>
      </x:c>
      <x:c r="B736" s="19" t="str">
        <x:v>C026</x:v>
      </x:c>
      <x:c r="C736" s="19" t="n">
        <x:v>8</x:v>
      </x:c>
      <x:c r="D736" s="19" t="str">
        <x:v>代表性</x:v>
      </x:c>
      <x:c r="E736" s="19" t="str">
        <x:v>微结构</x:v>
      </x:c>
      <x:c r="F736" s="19" t="str">
        <x:v>默认以MZM表示，若厂商披露MRR应改用C027</x:v>
      </x:c>
    </x:row>
    <x:row r="737" ht="15" hidden="0" customHeight="1">
      <x:c r="A737" s="19" t="str">
        <x:v>800-O112-DR8-LRO-SIPH</x:v>
      </x:c>
      <x:c r="B737" s="19" t="str">
        <x:v>C028</x:v>
      </x:c>
      <x:c r="C737" s="19" t="n">
        <x:v>8</x:v>
      </x:c>
      <x:c r="D737" s="19" t="str">
        <x:v>内嵌</x:v>
      </x:c>
      <x:c r="E737" s="19" t="str">
        <x:v>微结构</x:v>
      </x:c>
      <x:c r="F737" s="19" t="str">
        <x:v>相移器</x:v>
      </x:c>
    </x:row>
    <x:row r="738" ht="15" hidden="0" customHeight="1">
      <x:c r="A738" s="19" t="str">
        <x:v>800-O112-DR8-LRO-SIPH</x:v>
      </x:c>
      <x:c r="B738" s="19" t="str">
        <x:v>C029</x:v>
      </x:c>
      <x:c r="C738" s="19" t="n">
        <x:v>8</x:v>
      </x:c>
      <x:c r="D738" s="19" t="str">
        <x:v>内嵌</x:v>
      </x:c>
      <x:c r="E738" s="19" t="str">
        <x:v>微结构</x:v>
      </x:c>
      <x:c r="F738" s="19" t="str">
        <x:v>片上光路</x:v>
      </x:c>
    </x:row>
    <x:row r="739" ht="15" hidden="0" customHeight="1">
      <x:c r="A739" s="19" t="str">
        <x:v>800-O112-DR8-LRO-SIPH</x:v>
      </x:c>
      <x:c r="B739" s="19" t="str">
        <x:v>C064</x:v>
      </x:c>
      <x:c r="C739" s="19" t="n">
        <x:v>1</x:v>
      </x:c>
      <x:c r="D739" s="19" t="str">
        <x:v>按实现</x:v>
      </x:c>
      <x:c r="E739" s="19" t="str">
        <x:v>微结构</x:v>
      </x:c>
      <x:c r="F739" s="19" t="str">
        <x:v>偏振管理</x:v>
      </x:c>
    </x:row>
    <x:row r="740" ht="15" hidden="0" customHeight="1">
      <x:c r="A740" s="19" t="str">
        <x:v>800-O112-DR8-LRO-SIPH</x:v>
      </x:c>
      <x:c r="B740" s="19" t="str">
        <x:v>C065</x:v>
      </x:c>
      <x:c r="C740" s="19" t="n">
        <x:v>1</x:v>
      </x:c>
      <x:c r="D740" s="19" t="str">
        <x:v>按实现</x:v>
      </x:c>
      <x:c r="E740" s="19" t="str">
        <x:v>微结构</x:v>
      </x:c>
      <x:c r="F740" s="19" t="str">
        <x:v>抽光监控</x:v>
      </x:c>
    </x:row>
    <x:row r="741" ht="15" hidden="0" customHeight="1">
      <x:c r="A741" s="19" t="str">
        <x:v>800-O112-DR8-LRO-SIPH</x:v>
      </x:c>
      <x:c r="B741" s="19" t="str">
        <x:v>C066</x:v>
      </x:c>
      <x:c r="C741" s="19" t="n">
        <x:v>1</x:v>
      </x:c>
      <x:c r="D741" s="19" t="str">
        <x:v>按实现</x:v>
      </x:c>
      <x:c r="E741" s="19" t="str">
        <x:v>微结构</x:v>
      </x:c>
      <x:c r="F741" s="19" t="str">
        <x:v>微环/AWG/滤波结构热调谐</x:v>
      </x:c>
    </x:row>
    <x:row r="742" ht="15" hidden="0" customHeight="1">
      <x:c r="A742" s="19" t="str">
        <x:v>800-O112-DR8-LRO-SIPH</x:v>
      </x:c>
      <x:c r="B742" s="19" t="str">
        <x:v>C030</x:v>
      </x:c>
      <x:c r="C742" s="19" t="n">
        <x:v>8</x:v>
      </x:c>
      <x:c r="D742" s="19" t="str">
        <x:v>必需</x:v>
      </x:c>
      <x:c r="E742" s="19" t="str">
        <x:v>光通道</x:v>
      </x:c>
      <x:c r="F742" s="19" t="str">
        <x:v>Ge/Si PIN</x:v>
      </x:c>
    </x:row>
    <x:row r="743" ht="15" hidden="0" customHeight="1">
      <x:c r="A743" s="19" t="str">
        <x:v>800-O112-DR8-LRO-SIPH</x:v>
      </x:c>
      <x:c r="B743" s="19" t="str">
        <x:v>C039</x:v>
      </x:c>
      <x:c r="C743" s="19" t="n">
        <x:v>8</x:v>
      </x:c>
      <x:c r="D743" s="19" t="str">
        <x:v>二选一</x:v>
      </x:c>
      <x:c r="E743" s="19" t="str">
        <x:v>耦合方式</x:v>
      </x:c>
      <x:c r="F743" s="19" t="str">
        <x:v>与边缘耦合器二选一或混用</x:v>
      </x:c>
    </x:row>
    <x:row r="744" ht="15" hidden="0" customHeight="1">
      <x:c r="A744" s="19" t="str">
        <x:v>800-O112-DR8-LRO-SIPH</x:v>
      </x:c>
      <x:c r="B744" s="19" t="str">
        <x:v>C040</x:v>
      </x:c>
      <x:c r="C744" s="19" t="n">
        <x:v>8</x:v>
      </x:c>
      <x:c r="D744" s="19" t="str">
        <x:v>二选一</x:v>
      </x:c>
      <x:c r="E744" s="19" t="str">
        <x:v>耦合方式</x:v>
      </x:c>
      <x:c r="F744" s="19" t="str">
        <x:v>与光栅耦合器二选一或混用</x:v>
      </x:c>
    </x:row>
    <x:row r="745" ht="15" hidden="0" customHeight="1">
      <x:c r="A745" s="19" t="str">
        <x:v>800-O112-DR8-LRO-SIPH</x:v>
      </x:c>
      <x:c r="B745" s="19" t="str">
        <x:v>C023</x:v>
      </x:c>
      <x:c r="C745" s="19" t="n">
        <x:v>1</x:v>
      </x:c>
      <x:c r="D745" s="19" t="str">
        <x:v>必需</x:v>
      </x:c>
      <x:c r="E745" s="19" t="str">
        <x:v>光源级</x:v>
      </x:c>
      <x:c r="F745" s="19" t="str">
        <x:v>可为多波长/多激光阵列</x:v>
      </x:c>
    </x:row>
    <x:row r="746" ht="15" hidden="0" customHeight="1">
      <x:c r="A746" s="19" t="str">
        <x:v>800-O112-DR8-LRO-SIPH</x:v>
      </x:c>
      <x:c r="B746" s="19" t="str">
        <x:v>C022</x:v>
      </x:c>
      <x:c r="C746" s="19" t="n">
        <x:v>1</x:v>
      </x:c>
      <x:c r="D746" s="19" t="str">
        <x:v>内嵌</x:v>
      </x:c>
      <x:c r="E746" s="19" t="str">
        <x:v>微结构</x:v>
      </x:c>
      <x:c r="F746" s="19" t="str">
        <x:v>CW DFB内部光栅</x:v>
      </x:c>
    </x:row>
    <x:row r="747" ht="15" hidden="0" customHeight="1">
      <x:c r="A747" s="19" t="str">
        <x:v>800-O112-DR8-LRO-SIPH</x:v>
      </x:c>
      <x:c r="B747" s="19" t="str">
        <x:v>C049</x:v>
      </x:c>
      <x:c r="C747" s="19" t="n">
        <x:v>8</x:v>
      </x:c>
      <x:c r="D747" s="19" t="str">
        <x:v>必需</x:v>
      </x:c>
      <x:c r="E747" s="19" t="str">
        <x:v>光纤通道</x:v>
      </x:c>
      <x:c r="F747" s="19" t="str">
        <x:v>PSM SMF</x:v>
      </x:c>
    </x:row>
    <x:row r="748" ht="15" hidden="0" customHeight="1">
      <x:c r="A748" s="19"/>
      <x:c r="B748" s="19"/>
      <x:c r="C748" s="19"/>
      <x:c r="D748" s="19"/>
      <x:c r="E748" s="19"/>
      <x:c r="F748" s="19"/>
    </x:row>
    <x:row r="749" ht="15" hidden="0" customHeight="1">
      <x:c r="A749" s="19"/>
      <x:c r="B749" s="19"/>
      <x:c r="C749" s="19"/>
      <x:c r="D749" s="19"/>
      <x:c r="E749" s="19"/>
      <x:c r="F749" s="19"/>
    </x:row>
    <x:row r="750" ht="15" hidden="0" customHeight="1">
      <x:c r="A750" s="19"/>
      <x:c r="B750" s="19"/>
      <x:c r="C750" s="19"/>
      <x:c r="D750" s="19"/>
      <x:c r="E750" s="19"/>
      <x:c r="F750" s="19"/>
    </x:row>
    <x:row r="751" ht="15" hidden="0" customHeight="1">
      <x:c r="A751" s="19" t="str">
        <x:v>800-O112-DR8-LRO-SIPH</x:v>
      </x:c>
      <x:c r="B751" s="19" t="str">
        <x:v>C037</x:v>
      </x:c>
      <x:c r="C751" s="19" t="n">
        <x:v>8</x:v>
      </x:c>
      <x:c r="D751" s="19" t="str">
        <x:v>按实现</x:v>
      </x:c>
      <x:c r="E751" s="19" t="str">
        <x:v>光通道</x:v>
      </x:c>
      <x:c r="F751" s="19" t="str">
        <x:v>自由空间/阵列耦合时使用</x:v>
      </x:c>
    </x:row>
    <x:row r="752" ht="15" hidden="0" customHeight="1">
      <x:c r="A752" s="19" t="str">
        <x:v>800-O112-DR8-LRO-SIPH</x:v>
      </x:c>
      <x:c r="B752" s="19" t="str">
        <x:v>C038</x:v>
      </x:c>
      <x:c r="C752" s="19" t="n">
        <x:v>8</x:v>
      </x:c>
      <x:c r="D752" s="19" t="str">
        <x:v>按实现</x:v>
      </x:c>
      <x:c r="E752" s="19" t="str">
        <x:v>光通道</x:v>
      </x:c>
      <x:c r="F752" s="19" t="str">
        <x:v>FAU可能按阵列封装，不等于单根数量</x:v>
      </x:c>
    </x:row>
    <x:row r="753" ht="15" hidden="0" customHeight="1">
      <x:c r="A753" s="19" t="str">
        <x:v>800-O112-DR8-LRO-SIPH</x:v>
      </x:c>
      <x:c r="B753" s="19" t="str">
        <x:v>C044</x:v>
      </x:c>
      <x:c r="C753" s="19" t="n">
        <x:v>1</x:v>
      </x:c>
      <x:c r="D753" s="19" t="str">
        <x:v>必需</x:v>
      </x:c>
      <x:c r="E753" s="19" t="str">
        <x:v>连接器级</x:v>
      </x:c>
      <x:c r="F753" s="19" t="str">
        <x:v>MPO16</x:v>
      </x:c>
    </x:row>
    <x:row r="754" ht="15" hidden="0" customHeight="1">
      <x:c r="A754" s="19" t="str">
        <x:v>800-O112-DR8-LRO-SIPH</x:v>
      </x:c>
      <x:c r="B754" s="19" t="str">
        <x:v>C045</x:v>
      </x:c>
      <x:c r="C754" s="19" t="n">
        <x:v>1</x:v>
      </x:c>
      <x:c r="D754" s="19" t="str">
        <x:v>内嵌</x:v>
      </x:c>
      <x:c r="E754" s="19" t="str">
        <x:v>连接器级</x:v>
      </x:c>
      <x:c r="F754" s="19" t="str">
        <x:v>MT插芯</x:v>
      </x:c>
    </x:row>
    <x:row r="755" ht="15" hidden="0" customHeight="1">
      <x:c r="A755" s="19" t="str">
        <x:v>800-O112-DR8-LRO-SIPH</x:v>
      </x:c>
      <x:c r="B755" s="19" t="str">
        <x:v>C046</x:v>
      </x:c>
      <x:c r="C755" s="19" t="n">
        <x:v>1</x:v>
      </x:c>
      <x:c r="D755" s="19" t="str">
        <x:v>内嵌</x:v>
      </x:c>
      <x:c r="E755" s="19" t="str">
        <x:v>连接器级</x:v>
      </x:c>
      <x:c r="F755" s="19" t="str">
        <x:v>导针与弹簧</x:v>
      </x:c>
    </x:row>
    <x:row r="756" ht="15" hidden="0" customHeight="1">
      <x:c r="A756" s="19" t="str">
        <x:v>800-O112-DR8-LRO-SIPH</x:v>
      </x:c>
      <x:c r="B756" s="19" t="str">
        <x:v>C053</x:v>
      </x:c>
      <x:c r="C756" s="19" t="n">
        <x:v>1</x:v>
      </x:c>
      <x:c r="D756" s="19" t="str">
        <x:v>必需</x:v>
      </x:c>
      <x:c r="E756" s="19" t="str">
        <x:v>热管理</x:v>
      </x:c>
      <x:c r="F756" s="19" t="str">
        <x:v>TIM</x:v>
      </x:c>
    </x:row>
    <x:row r="757" ht="15" hidden="0" customHeight="1">
      <x:c r="A757" s="19" t="str">
        <x:v>800-O112-DR8-LRO-SIPH</x:v>
      </x:c>
      <x:c r="B757" s="19" t="str">
        <x:v>C054</x:v>
      </x:c>
      <x:c r="C757" s="19" t="n">
        <x:v>1</x:v>
      </x:c>
      <x:c r="D757" s="19" t="str">
        <x:v>按实现</x:v>
      </x:c>
      <x:c r="E757" s="19" t="str">
        <x:v>封装</x:v>
      </x:c>
      <x:c r="F757" s="19" t="str">
        <x:v>光学胶/底填</x:v>
      </x:c>
    </x:row>
    <x:row r="758" ht="15" hidden="0" customHeight="1">
      <x:c r="A758" s="19" t="str">
        <x:v>1600-O224-DR8-8E8O-EML</x:v>
      </x:c>
      <x:c r="B758" s="19" t="str">
        <x:v>C001</x:v>
      </x:c>
      <x:c r="C758" s="19" t="n">
        <x:v>1</x:v>
      </x:c>
      <x:c r="D758" s="19" t="str">
        <x:v>必需</x:v>
      </x:c>
      <x:c r="E758" s="19" t="str">
        <x:v>形态级</x:v>
      </x:c>
      <x:c r="F758" s="19" t="str">
        <x:v>OSFP224</x:v>
      </x:c>
    </x:row>
    <x:row r="759" ht="15" hidden="0" customHeight="1">
      <x:c r="A759" s="19" t="str">
        <x:v>1600-O224-DR8-8E8O-EML</x:v>
      </x:c>
      <x:c r="B759" s="19" t="str">
        <x:v>C002</x:v>
      </x:c>
      <x:c r="C759" s="19" t="n">
        <x:v>1</x:v>
      </x:c>
      <x:c r="D759" s="19" t="str">
        <x:v>必需</x:v>
      </x:c>
      <x:c r="E759" s="19" t="str">
        <x:v>形态级</x:v>
      </x:c>
      <x:c r="F759" s="19" t="str">
        <x:v>散热能力需按功耗校核</x:v>
      </x:c>
    </x:row>
    <x:row r="760" ht="15" hidden="0" customHeight="1">
      <x:c r="A760" s="19" t="str">
        <x:v>1600-O224-DR8-8E8O-EML</x:v>
      </x:c>
      <x:c r="B760" s="19" t="str">
        <x:v>C003</x:v>
      </x:c>
      <x:c r="C760" s="19" t="n">
        <x:v>1</x:v>
      </x:c>
      <x:c r="D760" s="19" t="str">
        <x:v>必需</x:v>
      </x:c>
      <x:c r="E760" s="19" t="str">
        <x:v>形态级</x:v>
      </x:c>
      <x:c r="F760" s="19" t="str">
        <x:v>CPO无传统前面板模块拉环</x:v>
      </x:c>
    </x:row>
    <x:row r="761" ht="15" hidden="0" customHeight="1">
      <x:c r="A761" s="19" t="str">
        <x:v>1600-O224-DR8-8E8O-EML</x:v>
      </x:c>
      <x:c r="B761" s="19" t="str">
        <x:v>C004</x:v>
      </x:c>
      <x:c r="C761" s="19" t="n">
        <x:v>1</x:v>
      </x:c>
      <x:c r="D761" s="19" t="str">
        <x:v>必需</x:v>
      </x:c>
      <x:c r="E761" s="19" t="str">
        <x:v>代表性</x:v>
      </x:c>
      <x:c r="F761" s="19" t="str">
        <x:v>EMI屏蔽结构依外壳设计</x:v>
      </x:c>
    </x:row>
    <x:row r="762" ht="15" hidden="0" customHeight="1">
      <x:c r="A762" s="19" t="str">
        <x:v>1600-O224-DR8-8E8O-EML</x:v>
      </x:c>
      <x:c r="B762" s="19" t="str">
        <x:v>C005</x:v>
      </x:c>
      <x:c r="C762" s="19" t="n">
        <x:v>1</x:v>
      </x:c>
      <x:c r="D762" s="19" t="str">
        <x:v>必需</x:v>
      </x:c>
      <x:c r="E762" s="19" t="str">
        <x:v>代表性</x:v>
      </x:c>
      <x:c r="F762" s="19" t="str">
        <x:v>CPO可采用封装基板+系统PCB</x:v>
      </x:c>
    </x:row>
    <x:row r="763" ht="15" hidden="0" customHeight="1">
      <x:c r="A763" s="19" t="str">
        <x:v>1600-O224-DR8-8E8O-EML</x:v>
      </x:c>
      <x:c r="B763" s="19" t="str">
        <x:v>C056</x:v>
      </x:c>
      <x:c r="C763" s="19" t="n">
        <x:v>1</x:v>
      </x:c>
      <x:c r="D763" s="19" t="str">
        <x:v>必需</x:v>
      </x:c>
      <x:c r="E763" s="19" t="str">
        <x:v>形态级</x:v>
      </x:c>
      <x:c r="F763" s="19" t="str">
        <x:v>可插拔模块主机侧金手指/电连接器</x:v>
      </x:c>
    </x:row>
    <x:row r="764" ht="15" hidden="0" customHeight="1">
      <x:c r="A764" s="19" t="str">
        <x:v>1600-O224-DR8-8E8O-EML</x:v>
      </x:c>
      <x:c r="B764" s="19" t="str">
        <x:v>C057</x:v>
      </x:c>
      <x:c r="C764" s="19" t="n">
        <x:v>1</x:v>
      </x:c>
      <x:c r="D764" s="19" t="str">
        <x:v>系统配套</x:v>
      </x:c>
      <x:c r="E764" s="19" t="str">
        <x:v>系统级</x:v>
      </x:c>
      <x:c r="F764" s="19" t="str">
        <x:v>cage不属于模块内采购BOM</x:v>
      </x:c>
    </x:row>
    <x:row r="765" ht="15" hidden="0" customHeight="1">
      <x:c r="A765" s="19" t="str">
        <x:v>1600-O224-DR8-8E8O-EML</x:v>
      </x:c>
      <x:c r="B765" s="19" t="str">
        <x:v>C007</x:v>
      </x:c>
      <x:c r="C765" s="19" t="n">
        <x:v>1</x:v>
      </x:c>
      <x:c r="D765" s="19" t="str">
        <x:v>必需</x:v>
      </x:c>
      <x:c r="E765" s="19" t="str">
        <x:v>代表性</x:v>
      </x:c>
      <x:c r="F765" s="19" t="str">
        <x:v>光引擎承载基板/Interposer</x:v>
      </x:c>
    </x:row>
    <x:row r="766" ht="15" hidden="0" customHeight="1">
      <x:c r="A766" s="19" t="str">
        <x:v>1600-O224-DR8-8E8O-EML</x:v>
      </x:c>
      <x:c r="B766" s="19" t="str">
        <x:v>C008</x:v>
      </x:c>
      <x:c r="C766" s="19" t="n">
        <x:v>1</x:v>
      </x:c>
      <x:c r="D766" s="19" t="str">
        <x:v>必需</x:v>
      </x:c>
      <x:c r="E766" s="19" t="str">
        <x:v>代表性</x:v>
      </x:c>
      <x:c r="F766" s="19" t="str">
        <x:v>数量按功耗域，不等于精确颗数</x:v>
      </x:c>
    </x:row>
    <x:row r="767" ht="15" hidden="0" customHeight="1">
      <x:c r="A767" s="19" t="str">
        <x:v>1600-O224-DR8-8E8O-EML</x:v>
      </x:c>
      <x:c r="B767" s="19" t="str">
        <x:v>C009</x:v>
      </x:c>
      <x:c r="C767" s="19" t="n">
        <x:v>1</x:v>
      </x:c>
      <x:c r="D767" s="19" t="str">
        <x:v>必需</x:v>
      </x:c>
      <x:c r="E767" s="19" t="str">
        <x:v>管理接口</x:v>
      </x:c>
      <x:c r="F767" s="19" t="str">
        <x:v>可插拔模块使用CMIS管理</x:v>
      </x:c>
    </x:row>
    <x:row r="768" ht="15" hidden="0" customHeight="1">
      <x:c r="A768" s="19" t="str">
        <x:v>1600-O224-DR8-8E8O-EML</x:v>
      </x:c>
      <x:c r="B768" s="19" t="str">
        <x:v>C010</x:v>
      </x:c>
      <x:c r="C768" s="19" t="n">
        <x:v>1</x:v>
      </x:c>
      <x:c r="D768" s="19" t="str">
        <x:v>按实现</x:v>
      </x:c>
      <x:c r="E768" s="19" t="str">
        <x:v>代表性</x:v>
      </x:c>
      <x:c r="F768" s="19" t="str">
        <x:v>模块控制与校准</x:v>
      </x:c>
    </x:row>
    <x:row r="769" ht="15" hidden="0" customHeight="1">
      <x:c r="A769" s="19" t="str">
        <x:v>1600-O224-DR8-8E8O-EML</x:v>
      </x:c>
      <x:c r="B769" s="19" t="str">
        <x:v>C058</x:v>
      </x:c>
      <x:c r="C769" s="19" t="n">
        <x:v>1</x:v>
      </x:c>
      <x:c r="D769" s="19" t="str">
        <x:v>按实现</x:v>
      </x:c>
      <x:c r="E769" s="19" t="str">
        <x:v>时钟架构</x:v>
      </x:c>
      <x:c r="F769" s="19" t="str">
        <x:v>可由主机提供REFCLK或使用模块内时钟器件</x:v>
      </x:c>
    </x:row>
    <x:row r="770" ht="15" hidden="0" customHeight="1">
      <x:c r="A770" s="19" t="str">
        <x:v>1600-O224-DR8-8E8O-EML</x:v>
      </x:c>
      <x:c r="B770" s="19" t="str">
        <x:v>C059</x:v>
      </x:c>
      <x:c r="C770" s="19" t="n">
        <x:v>1</x:v>
      </x:c>
      <x:c r="D770" s="19" t="str">
        <x:v>必需/可集成</x:v>
      </x:c>
      <x:c r="E770" s="19" t="str">
        <x:v>监控功能</x:v>
      </x:c>
      <x:c r="F770" s="19" t="str">
        <x:v>CMIS/控制系统温度监测</x:v>
      </x:c>
    </x:row>
    <x:row r="771" ht="15" hidden="0" customHeight="1">
      <x:c r="A771" s="19" t="str">
        <x:v>1600-O224-DR8-8E8O-EML</x:v>
      </x:c>
      <x:c r="B771" s="19" t="str">
        <x:v>C060</x:v>
      </x:c>
      <x:c r="C771" s="19" t="n">
        <x:v>1</x:v>
      </x:c>
      <x:c r="D771" s="19" t="str">
        <x:v>必需</x:v>
      </x:c>
      <x:c r="E771" s="19" t="str">
        <x:v>器件组</x:v>
      </x:c>
      <x:c r="F771" s="19" t="str">
        <x:v>R/C/L数量不按lane数表示</x:v>
      </x:c>
    </x:row>
    <x:row r="772" ht="15" hidden="0" customHeight="1">
      <x:c r="A772" s="19" t="str">
        <x:v>1600-O224-DR8-8E8O-EML</x:v>
      </x:c>
      <x:c r="B772" s="19" t="str">
        <x:v>C062</x:v>
      </x:c>
      <x:c r="C772" s="19" t="n">
        <x:v>1</x:v>
      </x:c>
      <x:c r="D772" s="19" t="str">
        <x:v>按封装</x:v>
      </x:c>
      <x:c r="E772" s="19" t="str">
        <x:v>互连工艺</x:v>
      </x:c>
      <x:c r="F772" s="19" t="str">
        <x:v>flip-chip平台使用</x:v>
      </x:c>
    </x:row>
    <x:row r="773" ht="15" hidden="0" customHeight="1">
      <x:c r="A773" s="19" t="str">
        <x:v>1600-O224-DR8-8E8O-EML</x:v>
      </x:c>
      <x:c r="B773" s="19" t="str">
        <x:v>C063</x:v>
      </x:c>
      <x:c r="C773" s="19" t="n">
        <x:v>1</x:v>
      </x:c>
      <x:c r="D773" s="19" t="str">
        <x:v>按封装</x:v>
      </x:c>
      <x:c r="E773" s="19" t="str">
        <x:v>互连工艺</x:v>
      </x:c>
      <x:c r="F773" s="19" t="str">
        <x:v>wire/ribbon bond平台使用</x:v>
      </x:c>
    </x:row>
    <x:row r="774" ht="15" hidden="0" customHeight="1">
      <x:c r="A774" s="19" t="str">
        <x:v>1600-O224-DR8-8E8O-EML</x:v>
      </x:c>
      <x:c r="B774" s="19" t="str">
        <x:v>C011</x:v>
      </x:c>
      <x:c r="C774" s="19" t="n">
        <x:v>1</x:v>
      </x:c>
      <x:c r="D774" s="19" t="str">
        <x:v>必需</x:v>
      </x:c>
      <x:c r="E774" s="19" t="str">
        <x:v>架构级</x:v>
      </x:c>
      <x:c r="F774" s="19" t="str">
        <x:v>含DSP</x:v>
      </x:c>
    </x:row>
    <x:row r="775" ht="15" hidden="0" customHeight="1">
      <x:c r="A775" s="19" t="str">
        <x:v>1600-O224-DR8-8E8O-EML</x:v>
      </x:c>
      <x:c r="B775" s="19" t="str">
        <x:v>C014</x:v>
      </x:c>
      <x:c r="C775" s="19" t="n">
        <x:v>8</x:v>
      </x:c>
      <x:c r="D775" s="19" t="str">
        <x:v>必需</x:v>
      </x:c>
      <x:c r="E775" s="19" t="str">
        <x:v>功能通道数</x:v>
      </x:c>
      <x:c r="F775" s="19" t="str">
        <x:v>可能为阵列/多通道die，非精确封装颗数</x:v>
      </x:c>
    </x:row>
    <x:row r="776" ht="15" hidden="0" customHeight="1">
      <x:c r="A776" s="19" t="str">
        <x:v>1600-O224-DR8-8E8O-EML</x:v>
      </x:c>
      <x:c r="B776" s="19" t="str">
        <x:v>C015</x:v>
      </x:c>
      <x:c r="C776" s="19" t="n">
        <x:v>8</x:v>
      </x:c>
      <x:c r="D776" s="19" t="str">
        <x:v>必需</x:v>
      </x:c>
      <x:c r="E776" s="19" t="str">
        <x:v>功能通道数</x:v>
      </x:c>
      <x:c r="F776" s="19" t="str">
        <x:v>可能为阵列/多通道die，非精确封装颗数</x:v>
      </x:c>
    </x:row>
    <x:row r="777" ht="15" hidden="0" customHeight="1">
      <x:c r="A777" s="19" t="str">
        <x:v>1600-O224-DR8-8E8O-EML</x:v>
      </x:c>
      <x:c r="B777" s="19" t="str">
        <x:v>C021</x:v>
      </x:c>
      <x:c r="C777" s="19" t="n">
        <x:v>8</x:v>
      </x:c>
      <x:c r="D777" s="19" t="str">
        <x:v>必需</x:v>
      </x:c>
      <x:c r="E777" s="19" t="str">
        <x:v>光通道</x:v>
      </x:c>
      <x:c r="F777" s="19" t="str">
        <x:v>可为阵列/多通道封装</x:v>
      </x:c>
    </x:row>
    <x:row r="778" ht="15" hidden="0" customHeight="1">
      <x:c r="A778" s="19" t="str">
        <x:v>1600-O224-DR8-8E8O-EML</x:v>
      </x:c>
      <x:c r="B778" s="19" t="str">
        <x:v>C022</x:v>
      </x:c>
      <x:c r="C778" s="19" t="n">
        <x:v>8</x:v>
      </x:c>
      <x:c r="D778" s="19" t="str">
        <x:v>内嵌</x:v>
      </x:c>
      <x:c r="E778" s="19" t="str">
        <x:v>微结构</x:v>
      </x:c>
      <x:c r="F778" s="19" t="str">
        <x:v>DFB/DBR波长选择结构</x:v>
      </x:c>
    </x:row>
    <x:row r="779" ht="15" hidden="0" customHeight="1">
      <x:c r="A779" s="19" t="str">
        <x:v>1600-O224-DR8-8E8O-EML</x:v>
      </x:c>
      <x:c r="B779" s="19" t="str">
        <x:v>C067</x:v>
      </x:c>
      <x:c r="C779" s="19" t="n">
        <x:v>8</x:v>
      </x:c>
      <x:c r="D779" s="19" t="str">
        <x:v>内嵌</x:v>
      </x:c>
      <x:c r="E779" s="19" t="str">
        <x:v>微结构</x:v>
      </x:c>
      <x:c r="F779" s="19" t="str">
        <x:v>EML内部EAM调制区</x:v>
      </x:c>
    </x:row>
    <x:row r="780" ht="15" hidden="0" customHeight="1">
      <x:c r="A780" s="19" t="str">
        <x:v>1600-O224-DR8-8E8O-EML</x:v>
      </x:c>
      <x:c r="B780" s="19" t="str">
        <x:v>C068</x:v>
      </x:c>
      <x:c r="C780" s="19" t="n">
        <x:v>8</x:v>
      </x:c>
      <x:c r="D780" s="19" t="str">
        <x:v>内嵌</x:v>
      </x:c>
      <x:c r="E780" s="19" t="str">
        <x:v>微结构</x:v>
      </x:c>
      <x:c r="F780" s="19" t="str">
        <x:v>激光器/调制器量子阱有源区</x:v>
      </x:c>
    </x:row>
    <x:row r="781" ht="15" hidden="0" customHeight="1">
      <x:c r="A781" s="19" t="str">
        <x:v>1600-O224-DR8-8E8O-EML</x:v>
      </x:c>
      <x:c r="B781" s="19" t="str">
        <x:v>C069</x:v>
      </x:c>
      <x:c r="C781" s="19" t="n">
        <x:v>8</x:v>
      </x:c>
      <x:c r="D781" s="19" t="str">
        <x:v>内嵌</x:v>
      </x:c>
      <x:c r="E781" s="19" t="str">
        <x:v>工艺</x:v>
      </x:c>
      <x:c r="F781" s="19" t="str">
        <x:v>端面AR/HR膜</x:v>
      </x:c>
    </x:row>
    <x:row r="782" ht="15" hidden="0" customHeight="1">
      <x:c r="A782" s="19" t="str">
        <x:v>1600-O224-DR8-8E8O-EML</x:v>
      </x:c>
      <x:c r="B782" s="19" t="str">
        <x:v>C061</x:v>
      </x:c>
      <x:c r="C782" s="19" t="n">
        <x:v>1</x:v>
      </x:c>
      <x:c r="D782" s="19" t="str">
        <x:v>必需</x:v>
      </x:c>
      <x:c r="E782" s="19" t="str">
        <x:v>封装</x:v>
      </x:c>
      <x:c r="F782" s="19" t="str">
        <x:v>EML/PD阵列承载</x:v>
      </x:c>
    </x:row>
    <x:row r="783" ht="15" hidden="0" customHeight="1">
      <x:c r="A783" s="19" t="str">
        <x:v>1600-O224-DR8-8E8O-EML</x:v>
      </x:c>
      <x:c r="B783" s="19" t="str">
        <x:v>C031</x:v>
      </x:c>
      <x:c r="C783" s="19" t="n">
        <x:v>8</x:v>
      </x:c>
      <x:c r="D783" s="19" t="str">
        <x:v>必需</x:v>
      </x:c>
      <x:c r="E783" s="19" t="str">
        <x:v>光通道</x:v>
      </x:c>
      <x:c r="F783" s="19" t="str">
        <x:v>InGaAs PIN</x:v>
      </x:c>
    </x:row>
    <x:row r="784" ht="15" hidden="0" customHeight="1">
      <x:c r="A784" s="19" t="str">
        <x:v>1600-O224-DR8-8E8O-EML</x:v>
      </x:c>
      <x:c r="B784" s="19" t="str">
        <x:v>C049</x:v>
      </x:c>
      <x:c r="C784" s="19" t="n">
        <x:v>8</x:v>
      </x:c>
      <x:c r="D784" s="19" t="str">
        <x:v>必需</x:v>
      </x:c>
      <x:c r="E784" s="19" t="str">
        <x:v>光纤通道</x:v>
      </x:c>
      <x:c r="F784" s="19" t="str">
        <x:v>PSM SMF</x:v>
      </x:c>
    </x:row>
    <x:row r="785" ht="15" hidden="0" customHeight="1">
      <x:c r="A785" s="19"/>
      <x:c r="B785" s="19"/>
      <x:c r="C785" s="19"/>
      <x:c r="D785" s="19"/>
      <x:c r="E785" s="19"/>
      <x:c r="F785" s="19"/>
    </x:row>
    <x:row r="786" ht="15" hidden="0" customHeight="1">
      <x:c r="A786" s="19"/>
      <x:c r="B786" s="19"/>
      <x:c r="C786" s="19"/>
      <x:c r="D786" s="19"/>
      <x:c r="E786" s="19"/>
      <x:c r="F786" s="19"/>
    </x:row>
    <x:row r="787" ht="15" hidden="0" customHeight="1">
      <x:c r="A787" s="19"/>
      <x:c r="B787" s="19"/>
      <x:c r="C787" s="19"/>
      <x:c r="D787" s="19"/>
      <x:c r="E787" s="19"/>
      <x:c r="F787" s="19"/>
    </x:row>
    <x:row r="788" ht="15" hidden="0" customHeight="1">
      <x:c r="A788" s="19" t="str">
        <x:v>1600-O224-DR8-8E8O-EML</x:v>
      </x:c>
      <x:c r="B788" s="19" t="str">
        <x:v>C037</x:v>
      </x:c>
      <x:c r="C788" s="19" t="n">
        <x:v>8</x:v>
      </x:c>
      <x:c r="D788" s="19" t="str">
        <x:v>按实现</x:v>
      </x:c>
      <x:c r="E788" s="19" t="str">
        <x:v>光通道</x:v>
      </x:c>
      <x:c r="F788" s="19" t="str">
        <x:v>自由空间/阵列耦合时使用</x:v>
      </x:c>
    </x:row>
    <x:row r="789" ht="15" hidden="0" customHeight="1">
      <x:c r="A789" s="19" t="str">
        <x:v>1600-O224-DR8-8E8O-EML</x:v>
      </x:c>
      <x:c r="B789" s="19" t="str">
        <x:v>C038</x:v>
      </x:c>
      <x:c r="C789" s="19" t="n">
        <x:v>8</x:v>
      </x:c>
      <x:c r="D789" s="19" t="str">
        <x:v>按实现</x:v>
      </x:c>
      <x:c r="E789" s="19" t="str">
        <x:v>光通道</x:v>
      </x:c>
      <x:c r="F789" s="19" t="str">
        <x:v>FAU可能按阵列封装，不等于单根数量</x:v>
      </x:c>
    </x:row>
    <x:row r="790" ht="15" hidden="0" customHeight="1">
      <x:c r="A790" s="19" t="str">
        <x:v>1600-O224-DR8-8E8O-EML</x:v>
      </x:c>
      <x:c r="B790" s="19" t="str">
        <x:v>C053</x:v>
      </x:c>
      <x:c r="C790" s="19" t="n">
        <x:v>1</x:v>
      </x:c>
      <x:c r="D790" s="19" t="str">
        <x:v>必需</x:v>
      </x:c>
      <x:c r="E790" s="19" t="str">
        <x:v>热管理</x:v>
      </x:c>
      <x:c r="F790" s="19" t="str">
        <x:v>TIM</x:v>
      </x:c>
    </x:row>
    <x:row r="791" ht="15" hidden="0" customHeight="1">
      <x:c r="A791" s="19" t="str">
        <x:v>1600-O224-DR8-8E8O-EML</x:v>
      </x:c>
      <x:c r="B791" s="19" t="str">
        <x:v>C054</x:v>
      </x:c>
      <x:c r="C791" s="19" t="n">
        <x:v>1</x:v>
      </x:c>
      <x:c r="D791" s="19" t="str">
        <x:v>按实现</x:v>
      </x:c>
      <x:c r="E791" s="19" t="str">
        <x:v>封装</x:v>
      </x:c>
      <x:c r="F791" s="19" t="str">
        <x:v>光学胶/底填</x:v>
      </x:c>
    </x:row>
    <x:row r="792" ht="15" hidden="0" customHeight="1">
      <x:c r="A792" s="19" t="str">
        <x:v>1600-O224-DR8-8E8O-SIPH</x:v>
      </x:c>
      <x:c r="B792" s="19" t="str">
        <x:v>C001</x:v>
      </x:c>
      <x:c r="C792" s="19" t="n">
        <x:v>1</x:v>
      </x:c>
      <x:c r="D792" s="19" t="str">
        <x:v>必需</x:v>
      </x:c>
      <x:c r="E792" s="19" t="str">
        <x:v>形态级</x:v>
      </x:c>
      <x:c r="F792" s="19" t="str">
        <x:v>OSFP</x:v>
      </x:c>
    </x:row>
    <x:row r="793" ht="15" hidden="0" customHeight="1">
      <x:c r="A793" s="19" t="str">
        <x:v>1600-O224-DR8-8E8O-SIPH</x:v>
      </x:c>
      <x:c r="B793" s="19" t="str">
        <x:v>C002</x:v>
      </x:c>
      <x:c r="C793" s="19" t="n">
        <x:v>1</x:v>
      </x:c>
      <x:c r="D793" s="19" t="str">
        <x:v>必需</x:v>
      </x:c>
      <x:c r="E793" s="19" t="str">
        <x:v>形态级</x:v>
      </x:c>
      <x:c r="F793" s="19" t="str">
        <x:v>散热能力需按功耗校核</x:v>
      </x:c>
    </x:row>
    <x:row r="794" ht="15" hidden="0" customHeight="1">
      <x:c r="A794" s="19" t="str">
        <x:v>1600-O224-DR8-8E8O-SIPH</x:v>
      </x:c>
      <x:c r="B794" s="19" t="str">
        <x:v>C003</x:v>
      </x:c>
      <x:c r="C794" s="19" t="n">
        <x:v>1</x:v>
      </x:c>
      <x:c r="D794" s="19" t="str">
        <x:v>必需</x:v>
      </x:c>
      <x:c r="E794" s="19" t="str">
        <x:v>形态级</x:v>
      </x:c>
      <x:c r="F794" s="19" t="str">
        <x:v>CPO无传统前面板模块拉环</x:v>
      </x:c>
    </x:row>
    <x:row r="795" ht="15" hidden="0" customHeight="1">
      <x:c r="A795" s="19" t="str">
        <x:v>1600-O224-DR8-8E8O-SIPH</x:v>
      </x:c>
      <x:c r="B795" s="19" t="str">
        <x:v>C004</x:v>
      </x:c>
      <x:c r="C795" s="19" t="n">
        <x:v>1</x:v>
      </x:c>
      <x:c r="D795" s="19" t="str">
        <x:v>必需</x:v>
      </x:c>
      <x:c r="E795" s="19" t="str">
        <x:v>代表性</x:v>
      </x:c>
      <x:c r="F795" s="19" t="str">
        <x:v>EMI屏蔽结构依外壳设计</x:v>
      </x:c>
    </x:row>
    <x:row r="796" ht="15" hidden="0" customHeight="1">
      <x:c r="A796" s="19" t="str">
        <x:v>1600-O224-DR8-8E8O-SIPH</x:v>
      </x:c>
      <x:c r="B796" s="19" t="str">
        <x:v>C005</x:v>
      </x:c>
      <x:c r="C796" s="19" t="n">
        <x:v>1</x:v>
      </x:c>
      <x:c r="D796" s="19" t="str">
        <x:v>必需</x:v>
      </x:c>
      <x:c r="E796" s="19" t="str">
        <x:v>代表性</x:v>
      </x:c>
      <x:c r="F796" s="19" t="str">
        <x:v>CPO可采用封装基板+系统PCB</x:v>
      </x:c>
    </x:row>
    <x:row r="797" ht="15" hidden="0" customHeight="1">
      <x:c r="A797" s="19" t="str">
        <x:v>1600-O224-DR8-8E8O-SIPH</x:v>
      </x:c>
      <x:c r="B797" s="19" t="str">
        <x:v>C056</x:v>
      </x:c>
      <x:c r="C797" s="19" t="n">
        <x:v>1</x:v>
      </x:c>
      <x:c r="D797" s="19" t="str">
        <x:v>必需</x:v>
      </x:c>
      <x:c r="E797" s="19" t="str">
        <x:v>形态级</x:v>
      </x:c>
      <x:c r="F797" s="19" t="str">
        <x:v>可插拔模块主机侧金手指/电连接器</x:v>
      </x:c>
    </x:row>
    <x:row r="798" ht="15" hidden="0" customHeight="1">
      <x:c r="A798" s="19" t="str">
        <x:v>1600-O224-DR8-8E8O-SIPH</x:v>
      </x:c>
      <x:c r="B798" s="19" t="str">
        <x:v>C057</x:v>
      </x:c>
      <x:c r="C798" s="19" t="n">
        <x:v>1</x:v>
      </x:c>
      <x:c r="D798" s="19" t="str">
        <x:v>系统配套</x:v>
      </x:c>
      <x:c r="E798" s="19" t="str">
        <x:v>系统级</x:v>
      </x:c>
      <x:c r="F798" s="19" t="str">
        <x:v>cage不属于模块内采购BOM</x:v>
      </x:c>
    </x:row>
    <x:row r="799" ht="15" hidden="0" customHeight="1">
      <x:c r="A799" s="19" t="str">
        <x:v>1600-O224-DR8-8E8O-SIPH</x:v>
      </x:c>
      <x:c r="B799" s="19" t="str">
        <x:v>C007</x:v>
      </x:c>
      <x:c r="C799" s="19" t="n">
        <x:v>1</x:v>
      </x:c>
      <x:c r="D799" s="19" t="str">
        <x:v>必需</x:v>
      </x:c>
      <x:c r="E799" s="19" t="str">
        <x:v>代表性</x:v>
      </x:c>
      <x:c r="F799" s="19" t="str">
        <x:v>光引擎承载基板/Interposer</x:v>
      </x:c>
    </x:row>
    <x:row r="800" ht="15" hidden="0" customHeight="1">
      <x:c r="A800" s="19" t="str">
        <x:v>1600-O224-DR8-8E8O-SIPH</x:v>
      </x:c>
      <x:c r="B800" s="19" t="str">
        <x:v>C008</x:v>
      </x:c>
      <x:c r="C800" s="19" t="n">
        <x:v>1</x:v>
      </x:c>
      <x:c r="D800" s="19" t="str">
        <x:v>必需</x:v>
      </x:c>
      <x:c r="E800" s="19" t="str">
        <x:v>代表性</x:v>
      </x:c>
      <x:c r="F800" s="19" t="str">
        <x:v>数量按功耗域，不等于精确颗数</x:v>
      </x:c>
    </x:row>
    <x:row r="801" ht="15" hidden="0" customHeight="1">
      <x:c r="A801" s="19" t="str">
        <x:v>1600-O224-DR8-8E8O-SIPH</x:v>
      </x:c>
      <x:c r="B801" s="19" t="str">
        <x:v>C009</x:v>
      </x:c>
      <x:c r="C801" s="19" t="n">
        <x:v>1</x:v>
      </x:c>
      <x:c r="D801" s="19" t="str">
        <x:v>必需</x:v>
      </x:c>
      <x:c r="E801" s="19" t="str">
        <x:v>管理接口</x:v>
      </x:c>
      <x:c r="F801" s="19" t="str">
        <x:v>可插拔模块使用CMIS管理</x:v>
      </x:c>
    </x:row>
    <x:row r="802" ht="15" hidden="0" customHeight="1">
      <x:c r="A802" s="19" t="str">
        <x:v>1600-O224-DR8-8E8O-SIPH</x:v>
      </x:c>
      <x:c r="B802" s="19" t="str">
        <x:v>C010</x:v>
      </x:c>
      <x:c r="C802" s="19" t="n">
        <x:v>1</x:v>
      </x:c>
      <x:c r="D802" s="19" t="str">
        <x:v>按实现</x:v>
      </x:c>
      <x:c r="E802" s="19" t="str">
        <x:v>代表性</x:v>
      </x:c>
      <x:c r="F802" s="19" t="str">
        <x:v>模块控制与校准</x:v>
      </x:c>
    </x:row>
    <x:row r="803" ht="15" hidden="0" customHeight="1">
      <x:c r="A803" s="19" t="str">
        <x:v>1600-O224-DR8-8E8O-SIPH</x:v>
      </x:c>
      <x:c r="B803" s="19" t="str">
        <x:v>C058</x:v>
      </x:c>
      <x:c r="C803" s="19" t="n">
        <x:v>1</x:v>
      </x:c>
      <x:c r="D803" s="19" t="str">
        <x:v>按实现</x:v>
      </x:c>
      <x:c r="E803" s="19" t="str">
        <x:v>时钟架构</x:v>
      </x:c>
      <x:c r="F803" s="19" t="str">
        <x:v>可由主机提供REFCLK或使用模块内时钟器件</x:v>
      </x:c>
    </x:row>
    <x:row r="804" ht="15" hidden="0" customHeight="1">
      <x:c r="A804" s="19" t="str">
        <x:v>1600-O224-DR8-8E8O-SIPH</x:v>
      </x:c>
      <x:c r="B804" s="19" t="str">
        <x:v>C059</x:v>
      </x:c>
      <x:c r="C804" s="19" t="n">
        <x:v>1</x:v>
      </x:c>
      <x:c r="D804" s="19" t="str">
        <x:v>必需/可集成</x:v>
      </x:c>
      <x:c r="E804" s="19" t="str">
        <x:v>监控功能</x:v>
      </x:c>
      <x:c r="F804" s="19" t="str">
        <x:v>CMIS/控制系统温度监测</x:v>
      </x:c>
    </x:row>
    <x:row r="805" ht="15" hidden="0" customHeight="1">
      <x:c r="A805" s="19" t="str">
        <x:v>1600-O224-DR8-8E8O-SIPH</x:v>
      </x:c>
      <x:c r="B805" s="19" t="str">
        <x:v>C060</x:v>
      </x:c>
      <x:c r="C805" s="19" t="n">
        <x:v>1</x:v>
      </x:c>
      <x:c r="D805" s="19" t="str">
        <x:v>必需</x:v>
      </x:c>
      <x:c r="E805" s="19" t="str">
        <x:v>器件组</x:v>
      </x:c>
      <x:c r="F805" s="19" t="str">
        <x:v>R/C/L数量不按lane数表示</x:v>
      </x:c>
    </x:row>
    <x:row r="806" ht="15" hidden="0" customHeight="1">
      <x:c r="A806" s="19" t="str">
        <x:v>1600-O224-DR8-8E8O-SIPH</x:v>
      </x:c>
      <x:c r="B806" s="19" t="str">
        <x:v>C062</x:v>
      </x:c>
      <x:c r="C806" s="19" t="n">
        <x:v>1</x:v>
      </x:c>
      <x:c r="D806" s="19" t="str">
        <x:v>按封装</x:v>
      </x:c>
      <x:c r="E806" s="19" t="str">
        <x:v>互连工艺</x:v>
      </x:c>
      <x:c r="F806" s="19" t="str">
        <x:v>flip-chip平台使用</x:v>
      </x:c>
    </x:row>
    <x:row r="807" ht="15" hidden="0" customHeight="1">
      <x:c r="A807" s="19" t="str">
        <x:v>1600-O224-DR8-8E8O-SIPH</x:v>
      </x:c>
      <x:c r="B807" s="19" t="str">
        <x:v>C063</x:v>
      </x:c>
      <x:c r="C807" s="19" t="n">
        <x:v>1</x:v>
      </x:c>
      <x:c r="D807" s="19" t="str">
        <x:v>按封装</x:v>
      </x:c>
      <x:c r="E807" s="19" t="str">
        <x:v>互连工艺</x:v>
      </x:c>
      <x:c r="F807" s="19" t="str">
        <x:v>wire/ribbon bond平台使用</x:v>
      </x:c>
    </x:row>
    <x:row r="808" ht="15" hidden="0" customHeight="1">
      <x:c r="A808" s="19" t="str">
        <x:v>1600-O224-DR8-8E8O-SIPH</x:v>
      </x:c>
      <x:c r="B808" s="19" t="str">
        <x:v>C011</x:v>
      </x:c>
      <x:c r="C808" s="19" t="n">
        <x:v>1</x:v>
      </x:c>
      <x:c r="D808" s="19" t="str">
        <x:v>必需</x:v>
      </x:c>
      <x:c r="E808" s="19" t="str">
        <x:v>架构级</x:v>
      </x:c>
      <x:c r="F808" s="19" t="str">
        <x:v>含DSP</x:v>
      </x:c>
    </x:row>
    <x:row r="809" ht="15" hidden="0" customHeight="1">
      <x:c r="A809" s="19" t="str">
        <x:v>1600-O224-DR8-8E8O-SIPH</x:v>
      </x:c>
      <x:c r="B809" s="19" t="str">
        <x:v>C014</x:v>
      </x:c>
      <x:c r="C809" s="19" t="n">
        <x:v>8</x:v>
      </x:c>
      <x:c r="D809" s="19" t="str">
        <x:v>必需</x:v>
      </x:c>
      <x:c r="E809" s="19" t="str">
        <x:v>功能通道数</x:v>
      </x:c>
      <x:c r="F809" s="19" t="str">
        <x:v>可能为阵列/多通道die，非精确封装颗数</x:v>
      </x:c>
    </x:row>
    <x:row r="810" ht="15" hidden="0" customHeight="1">
      <x:c r="A810" s="19" t="str">
        <x:v>1600-O224-DR8-8E8O-SIPH</x:v>
      </x:c>
      <x:c r="B810" s="19" t="str">
        <x:v>C015</x:v>
      </x:c>
      <x:c r="C810" s="19" t="n">
        <x:v>8</x:v>
      </x:c>
      <x:c r="D810" s="19" t="str">
        <x:v>必需</x:v>
      </x:c>
      <x:c r="E810" s="19" t="str">
        <x:v>功能通道数</x:v>
      </x:c>
      <x:c r="F810" s="19" t="str">
        <x:v>可能为阵列/多通道die，非精确封装颗数</x:v>
      </x:c>
    </x:row>
    <x:row r="811" ht="15" hidden="0" customHeight="1">
      <x:c r="A811" s="19" t="str">
        <x:v>1600-O224-DR8-8E8O-SIPH</x:v>
      </x:c>
      <x:c r="B811" s="19" t="str">
        <x:v>C025</x:v>
      </x:c>
      <x:c r="C811" s="19" t="n">
        <x:v>1</x:v>
      </x:c>
      <x:c r="D811" s="19" t="str">
        <x:v>必需</x:v>
      </x:c>
      <x:c r="E811" s="19" t="str">
        <x:v>PIC级</x:v>
      </x:c>
      <x:c r="F811" s="19" t="str">
        <x:v>具体是否MZM或MRR需供应商证据</x:v>
      </x:c>
    </x:row>
    <x:row r="812" ht="15" hidden="0" customHeight="1">
      <x:c r="A812" s="19" t="str">
        <x:v>1600-O224-DR8-8E8O-SIPH</x:v>
      </x:c>
      <x:c r="B812" s="19" t="str">
        <x:v>C026</x:v>
      </x:c>
      <x:c r="C812" s="19" t="n">
        <x:v>8</x:v>
      </x:c>
      <x:c r="D812" s="19" t="str">
        <x:v>代表性</x:v>
      </x:c>
      <x:c r="E812" s="19" t="str">
        <x:v>微结构</x:v>
      </x:c>
      <x:c r="F812" s="19" t="str">
        <x:v>默认以MZM表示，若厂商披露MRR应改用C027</x:v>
      </x:c>
    </x:row>
    <x:row r="813" ht="15" hidden="0" customHeight="1">
      <x:c r="A813" s="19" t="str">
        <x:v>1600-O224-DR8-8E8O-SIPH</x:v>
      </x:c>
      <x:c r="B813" s="19" t="str">
        <x:v>C028</x:v>
      </x:c>
      <x:c r="C813" s="19" t="n">
        <x:v>8</x:v>
      </x:c>
      <x:c r="D813" s="19" t="str">
        <x:v>内嵌</x:v>
      </x:c>
      <x:c r="E813" s="19" t="str">
        <x:v>微结构</x:v>
      </x:c>
      <x:c r="F813" s="19" t="str">
        <x:v>相移器</x:v>
      </x:c>
    </x:row>
    <x:row r="814" ht="15" hidden="0" customHeight="1">
      <x:c r="A814" s="19" t="str">
        <x:v>1600-O224-DR8-8E8O-SIPH</x:v>
      </x:c>
      <x:c r="B814" s="19" t="str">
        <x:v>C029</x:v>
      </x:c>
      <x:c r="C814" s="19" t="n">
        <x:v>8</x:v>
      </x:c>
      <x:c r="D814" s="19" t="str">
        <x:v>内嵌</x:v>
      </x:c>
      <x:c r="E814" s="19" t="str">
        <x:v>微结构</x:v>
      </x:c>
      <x:c r="F814" s="19" t="str">
        <x:v>片上光路</x:v>
      </x:c>
    </x:row>
    <x:row r="815" ht="15" hidden="0" customHeight="1">
      <x:c r="A815" s="19" t="str">
        <x:v>1600-O224-DR8-8E8O-SIPH</x:v>
      </x:c>
      <x:c r="B815" s="19" t="str">
        <x:v>C064</x:v>
      </x:c>
      <x:c r="C815" s="19" t="n">
        <x:v>1</x:v>
      </x:c>
      <x:c r="D815" s="19" t="str">
        <x:v>按实现</x:v>
      </x:c>
      <x:c r="E815" s="19" t="str">
        <x:v>微结构</x:v>
      </x:c>
      <x:c r="F815" s="19" t="str">
        <x:v>偏振管理</x:v>
      </x:c>
    </x:row>
    <x:row r="816" ht="15" hidden="0" customHeight="1">
      <x:c r="A816" s="19" t="str">
        <x:v>1600-O224-DR8-8E8O-SIPH</x:v>
      </x:c>
      <x:c r="B816" s="19" t="str">
        <x:v>C065</x:v>
      </x:c>
      <x:c r="C816" s="19" t="n">
        <x:v>1</x:v>
      </x:c>
      <x:c r="D816" s="19" t="str">
        <x:v>按实现</x:v>
      </x:c>
      <x:c r="E816" s="19" t="str">
        <x:v>微结构</x:v>
      </x:c>
      <x:c r="F816" s="19" t="str">
        <x:v>抽光监控</x:v>
      </x:c>
    </x:row>
    <x:row r="817" ht="15" hidden="0" customHeight="1">
      <x:c r="A817" s="19" t="str">
        <x:v>1600-O224-DR8-8E8O-SIPH</x:v>
      </x:c>
      <x:c r="B817" s="19" t="str">
        <x:v>C066</x:v>
      </x:c>
      <x:c r="C817" s="19" t="n">
        <x:v>1</x:v>
      </x:c>
      <x:c r="D817" s="19" t="str">
        <x:v>按实现</x:v>
      </x:c>
      <x:c r="E817" s="19" t="str">
        <x:v>微结构</x:v>
      </x:c>
      <x:c r="F817" s="19" t="str">
        <x:v>微环/AWG/滤波结构热调谐</x:v>
      </x:c>
    </x:row>
    <x:row r="818" ht="15" hidden="0" customHeight="1">
      <x:c r="A818" s="19" t="str">
        <x:v>1600-O224-DR8-8E8O-SIPH</x:v>
      </x:c>
      <x:c r="B818" s="19" t="str">
        <x:v>C030</x:v>
      </x:c>
      <x:c r="C818" s="19" t="n">
        <x:v>8</x:v>
      </x:c>
      <x:c r="D818" s="19" t="str">
        <x:v>必需</x:v>
      </x:c>
      <x:c r="E818" s="19" t="str">
        <x:v>光通道</x:v>
      </x:c>
      <x:c r="F818" s="19" t="str">
        <x:v>Ge/Si PIN</x:v>
      </x:c>
    </x:row>
    <x:row r="819" ht="15" hidden="0" customHeight="1">
      <x:c r="A819" s="19" t="str">
        <x:v>1600-O224-DR8-8E8O-SIPH</x:v>
      </x:c>
      <x:c r="B819" s="19" t="str">
        <x:v>C039</x:v>
      </x:c>
      <x:c r="C819" s="19" t="n">
        <x:v>8</x:v>
      </x:c>
      <x:c r="D819" s="19" t="str">
        <x:v>二选一</x:v>
      </x:c>
      <x:c r="E819" s="19" t="str">
        <x:v>耦合方式</x:v>
      </x:c>
      <x:c r="F819" s="19" t="str">
        <x:v>与边缘耦合器二选一或混用</x:v>
      </x:c>
    </x:row>
    <x:row r="820" ht="15" hidden="0" customHeight="1">
      <x:c r="A820" s="19" t="str">
        <x:v>1600-O224-DR8-8E8O-SIPH</x:v>
      </x:c>
      <x:c r="B820" s="19" t="str">
        <x:v>C040</x:v>
      </x:c>
      <x:c r="C820" s="19" t="n">
        <x:v>8</x:v>
      </x:c>
      <x:c r="D820" s="19" t="str">
        <x:v>二选一</x:v>
      </x:c>
      <x:c r="E820" s="19" t="str">
        <x:v>耦合方式</x:v>
      </x:c>
      <x:c r="F820" s="19" t="str">
        <x:v>与光栅耦合器二选一或混用</x:v>
      </x:c>
    </x:row>
    <x:row r="821" ht="15" hidden="0" customHeight="1">
      <x:c r="A821" s="19" t="str">
        <x:v>1600-O224-DR8-8E8O-SIPH</x:v>
      </x:c>
      <x:c r="B821" s="19" t="str">
        <x:v>C023</x:v>
      </x:c>
      <x:c r="C821" s="19" t="n">
        <x:v>1</x:v>
      </x:c>
      <x:c r="D821" s="19" t="str">
        <x:v>必需</x:v>
      </x:c>
      <x:c r="E821" s="19" t="str">
        <x:v>光源级</x:v>
      </x:c>
      <x:c r="F821" s="19" t="str">
        <x:v>可为多波长/多激光阵列</x:v>
      </x:c>
    </x:row>
    <x:row r="822" ht="15" hidden="0" customHeight="1">
      <x:c r="A822" s="19" t="str">
        <x:v>1600-O224-DR8-8E8O-SIPH</x:v>
      </x:c>
      <x:c r="B822" s="19" t="str">
        <x:v>C022</x:v>
      </x:c>
      <x:c r="C822" s="19" t="n">
        <x:v>1</x:v>
      </x:c>
      <x:c r="D822" s="19" t="str">
        <x:v>内嵌</x:v>
      </x:c>
      <x:c r="E822" s="19" t="str">
        <x:v>微结构</x:v>
      </x:c>
      <x:c r="F822" s="19" t="str">
        <x:v>CW DFB内部光栅</x:v>
      </x:c>
    </x:row>
    <x:row r="823" ht="15" hidden="0" customHeight="1">
      <x:c r="A823" s="19" t="str">
        <x:v>1600-O224-DR8-8E8O-SIPH</x:v>
      </x:c>
      <x:c r="B823" s="19" t="str">
        <x:v>C049</x:v>
      </x:c>
      <x:c r="C823" s="19" t="n">
        <x:v>8</x:v>
      </x:c>
      <x:c r="D823" s="19" t="str">
        <x:v>必需</x:v>
      </x:c>
      <x:c r="E823" s="19" t="str">
        <x:v>光纤通道</x:v>
      </x:c>
      <x:c r="F823" s="19" t="str">
        <x:v>PSM SMF</x:v>
      </x:c>
    </x:row>
    <x:row r="824" ht="15" hidden="0" customHeight="1">
      <x:c r="A824" s="19"/>
      <x:c r="B824" s="19"/>
      <x:c r="C824" s="19"/>
      <x:c r="D824" s="19"/>
      <x:c r="E824" s="19"/>
      <x:c r="F824" s="19"/>
    </x:row>
    <x:row r="825" ht="15" hidden="0" customHeight="1">
      <x:c r="A825" s="19"/>
      <x:c r="B825" s="19"/>
      <x:c r="C825" s="19"/>
      <x:c r="D825" s="19"/>
      <x:c r="E825" s="19"/>
      <x:c r="F825" s="19"/>
    </x:row>
    <x:row r="826" ht="15" hidden="0" customHeight="1">
      <x:c r="A826" s="19"/>
      <x:c r="B826" s="19"/>
      <x:c r="C826" s="19"/>
      <x:c r="D826" s="19"/>
      <x:c r="E826" s="19"/>
      <x:c r="F826" s="19"/>
    </x:row>
    <x:row r="827" ht="15" hidden="0" customHeight="1">
      <x:c r="A827" s="19" t="str">
        <x:v>1600-O224-DR8-8E8O-SIPH</x:v>
      </x:c>
      <x:c r="B827" s="19" t="str">
        <x:v>C037</x:v>
      </x:c>
      <x:c r="C827" s="19" t="n">
        <x:v>8</x:v>
      </x:c>
      <x:c r="D827" s="19" t="str">
        <x:v>按实现</x:v>
      </x:c>
      <x:c r="E827" s="19" t="str">
        <x:v>光通道</x:v>
      </x:c>
      <x:c r="F827" s="19" t="str">
        <x:v>自由空间/阵列耦合时使用</x:v>
      </x:c>
    </x:row>
    <x:row r="828" ht="15" hidden="0" customHeight="1">
      <x:c r="A828" s="19" t="str">
        <x:v>1600-O224-DR8-8E8O-SIPH</x:v>
      </x:c>
      <x:c r="B828" s="19" t="str">
        <x:v>C038</x:v>
      </x:c>
      <x:c r="C828" s="19" t="n">
        <x:v>8</x:v>
      </x:c>
      <x:c r="D828" s="19" t="str">
        <x:v>按实现</x:v>
      </x:c>
      <x:c r="E828" s="19" t="str">
        <x:v>光通道</x:v>
      </x:c>
      <x:c r="F828" s="19" t="str">
        <x:v>FAU可能按阵列封装，不等于单根数量</x:v>
      </x:c>
    </x:row>
    <x:row r="829" ht="15" hidden="0" customHeight="1">
      <x:c r="A829" s="19" t="str">
        <x:v>1600-O224-DR8-8E8O-SIPH</x:v>
      </x:c>
      <x:c r="B829" s="19" t="str">
        <x:v>C044</x:v>
      </x:c>
      <x:c r="C829" s="19" t="n">
        <x:v>2</x:v>
      </x:c>
      <x:c r="D829" s="19" t="str">
        <x:v>必需</x:v>
      </x:c>
      <x:c r="E829" s="19" t="str">
        <x:v>连接器级</x:v>
      </x:c>
      <x:c r="F829" s="19" t="str">
        <x:v>Dual MPO12</x:v>
      </x:c>
    </x:row>
    <x:row r="830" ht="15" hidden="0" customHeight="1">
      <x:c r="A830" s="19" t="str">
        <x:v>1600-O224-DR8-8E8O-SIPH</x:v>
      </x:c>
      <x:c r="B830" s="19" t="str">
        <x:v>C045</x:v>
      </x:c>
      <x:c r="C830" s="19" t="n">
        <x:v>2</x:v>
      </x:c>
      <x:c r="D830" s="19" t="str">
        <x:v>内嵌</x:v>
      </x:c>
      <x:c r="E830" s="19" t="str">
        <x:v>连接器级</x:v>
      </x:c>
      <x:c r="F830" s="19" t="str">
        <x:v>MT插芯</x:v>
      </x:c>
    </x:row>
    <x:row r="831" ht="15" hidden="0" customHeight="1">
      <x:c r="A831" s="19" t="str">
        <x:v>1600-O224-DR8-8E8O-SIPH</x:v>
      </x:c>
      <x:c r="B831" s="19" t="str">
        <x:v>C046</x:v>
      </x:c>
      <x:c r="C831" s="19" t="n">
        <x:v>2</x:v>
      </x:c>
      <x:c r="D831" s="19" t="str">
        <x:v>内嵌</x:v>
      </x:c>
      <x:c r="E831" s="19" t="str">
        <x:v>连接器级</x:v>
      </x:c>
      <x:c r="F831" s="19" t="str">
        <x:v>导针与弹簧</x:v>
      </x:c>
    </x:row>
    <x:row r="832" ht="15" hidden="0" customHeight="1">
      <x:c r="A832" s="19" t="str">
        <x:v>1600-O224-DR8-8E8O-SIPH</x:v>
      </x:c>
      <x:c r="B832" s="19" t="str">
        <x:v>C053</x:v>
      </x:c>
      <x:c r="C832" s="19" t="n">
        <x:v>1</x:v>
      </x:c>
      <x:c r="D832" s="19" t="str">
        <x:v>必需</x:v>
      </x:c>
      <x:c r="E832" s="19" t="str">
        <x:v>热管理</x:v>
      </x:c>
      <x:c r="F832" s="19" t="str">
        <x:v>TIM</x:v>
      </x:c>
    </x:row>
    <x:row r="833" ht="15" hidden="0" customHeight="1">
      <x:c r="A833" s="19" t="str">
        <x:v>1600-O224-DR8-8E8O-SIPH</x:v>
      </x:c>
      <x:c r="B833" s="19" t="str">
        <x:v>C054</x:v>
      </x:c>
      <x:c r="C833" s="19" t="n">
        <x:v>1</x:v>
      </x:c>
      <x:c r="D833" s="19" t="str">
        <x:v>按实现</x:v>
      </x:c>
      <x:c r="E833" s="19" t="str">
        <x:v>封装</x:v>
      </x:c>
      <x:c r="F833" s="19" t="str">
        <x:v>光学胶/底填</x:v>
      </x:c>
    </x:row>
    <x:row r="834" ht="15" hidden="0" customHeight="1">
      <x:c r="A834" s="19" t="str">
        <x:v>1600-O224-2DR4-8E8O-SIPH</x:v>
      </x:c>
      <x:c r="B834" s="19" t="str">
        <x:v>C001</x:v>
      </x:c>
      <x:c r="C834" s="19" t="n">
        <x:v>1</x:v>
      </x:c>
      <x:c r="D834" s="19" t="str">
        <x:v>必需</x:v>
      </x:c>
      <x:c r="E834" s="19" t="str">
        <x:v>形态级</x:v>
      </x:c>
      <x:c r="F834" s="19" t="str">
        <x:v>OSFP224</x:v>
      </x:c>
    </x:row>
    <x:row r="835" ht="15" hidden="0" customHeight="1">
      <x:c r="A835" s="19" t="str">
        <x:v>1600-O224-2DR4-8E8O-SIPH</x:v>
      </x:c>
      <x:c r="B835" s="19" t="str">
        <x:v>C002</x:v>
      </x:c>
      <x:c r="C835" s="19" t="n">
        <x:v>1</x:v>
      </x:c>
      <x:c r="D835" s="19" t="str">
        <x:v>必需</x:v>
      </x:c>
      <x:c r="E835" s="19" t="str">
        <x:v>形态级</x:v>
      </x:c>
      <x:c r="F835" s="19" t="str">
        <x:v>散热能力需按功耗校核</x:v>
      </x:c>
    </x:row>
    <x:row r="836" ht="15" hidden="0" customHeight="1">
      <x:c r="A836" s="19" t="str">
        <x:v>1600-O224-2DR4-8E8O-SIPH</x:v>
      </x:c>
      <x:c r="B836" s="19" t="str">
        <x:v>C003</x:v>
      </x:c>
      <x:c r="C836" s="19" t="n">
        <x:v>1</x:v>
      </x:c>
      <x:c r="D836" s="19" t="str">
        <x:v>必需</x:v>
      </x:c>
      <x:c r="E836" s="19" t="str">
        <x:v>形态级</x:v>
      </x:c>
      <x:c r="F836" s="19" t="str">
        <x:v>CPO无传统前面板模块拉环</x:v>
      </x:c>
    </x:row>
    <x:row r="837" ht="15" hidden="0" customHeight="1">
      <x:c r="A837" s="19" t="str">
        <x:v>1600-O224-2DR4-8E8O-SIPH</x:v>
      </x:c>
      <x:c r="B837" s="19" t="str">
        <x:v>C004</x:v>
      </x:c>
      <x:c r="C837" s="19" t="n">
        <x:v>1</x:v>
      </x:c>
      <x:c r="D837" s="19" t="str">
        <x:v>必需</x:v>
      </x:c>
      <x:c r="E837" s="19" t="str">
        <x:v>代表性</x:v>
      </x:c>
      <x:c r="F837" s="19" t="str">
        <x:v>EMI屏蔽结构依外壳设计</x:v>
      </x:c>
    </x:row>
    <x:row r="838" ht="15" hidden="0" customHeight="1">
      <x:c r="A838" s="19" t="str">
        <x:v>1600-O224-2DR4-8E8O-SIPH</x:v>
      </x:c>
      <x:c r="B838" s="19" t="str">
        <x:v>C005</x:v>
      </x:c>
      <x:c r="C838" s="19" t="n">
        <x:v>1</x:v>
      </x:c>
      <x:c r="D838" s="19" t="str">
        <x:v>必需</x:v>
      </x:c>
      <x:c r="E838" s="19" t="str">
        <x:v>代表性</x:v>
      </x:c>
      <x:c r="F838" s="19" t="str">
        <x:v>CPO可采用封装基板+系统PCB</x:v>
      </x:c>
    </x:row>
    <x:row r="839" ht="15" hidden="0" customHeight="1">
      <x:c r="A839" s="19" t="str">
        <x:v>1600-O224-2DR4-8E8O-SIPH</x:v>
      </x:c>
      <x:c r="B839" s="19" t="str">
        <x:v>C056</x:v>
      </x:c>
      <x:c r="C839" s="19" t="n">
        <x:v>1</x:v>
      </x:c>
      <x:c r="D839" s="19" t="str">
        <x:v>必需</x:v>
      </x:c>
      <x:c r="E839" s="19" t="str">
        <x:v>形态级</x:v>
      </x:c>
      <x:c r="F839" s="19" t="str">
        <x:v>可插拔模块主机侧金手指/电连接器</x:v>
      </x:c>
    </x:row>
    <x:row r="840" ht="15" hidden="0" customHeight="1">
      <x:c r="A840" s="19" t="str">
        <x:v>1600-O224-2DR4-8E8O-SIPH</x:v>
      </x:c>
      <x:c r="B840" s="19" t="str">
        <x:v>C057</x:v>
      </x:c>
      <x:c r="C840" s="19" t="n">
        <x:v>1</x:v>
      </x:c>
      <x:c r="D840" s="19" t="str">
        <x:v>系统配套</x:v>
      </x:c>
      <x:c r="E840" s="19" t="str">
        <x:v>系统级</x:v>
      </x:c>
      <x:c r="F840" s="19" t="str">
        <x:v>cage不属于模块内采购BOM</x:v>
      </x:c>
    </x:row>
    <x:row r="841" ht="15" hidden="0" customHeight="1">
      <x:c r="A841" s="19" t="str">
        <x:v>1600-O224-2DR4-8E8O-SIPH</x:v>
      </x:c>
      <x:c r="B841" s="19" t="str">
        <x:v>C007</x:v>
      </x:c>
      <x:c r="C841" s="19" t="n">
        <x:v>1</x:v>
      </x:c>
      <x:c r="D841" s="19" t="str">
        <x:v>必需</x:v>
      </x:c>
      <x:c r="E841" s="19" t="str">
        <x:v>代表性</x:v>
      </x:c>
      <x:c r="F841" s="19" t="str">
        <x:v>光引擎承载基板/Interposer</x:v>
      </x:c>
    </x:row>
    <x:row r="842" ht="15" hidden="0" customHeight="1">
      <x:c r="A842" s="19" t="str">
        <x:v>1600-O224-2DR4-8E8O-SIPH</x:v>
      </x:c>
      <x:c r="B842" s="19" t="str">
        <x:v>C008</x:v>
      </x:c>
      <x:c r="C842" s="19" t="n">
        <x:v>1</x:v>
      </x:c>
      <x:c r="D842" s="19" t="str">
        <x:v>必需</x:v>
      </x:c>
      <x:c r="E842" s="19" t="str">
        <x:v>代表性</x:v>
      </x:c>
      <x:c r="F842" s="19" t="str">
        <x:v>数量按功耗域，不等于精确颗数</x:v>
      </x:c>
    </x:row>
    <x:row r="843" ht="15" hidden="0" customHeight="1">
      <x:c r="A843" s="19" t="str">
        <x:v>1600-O224-2DR4-8E8O-SIPH</x:v>
      </x:c>
      <x:c r="B843" s="19" t="str">
        <x:v>C009</x:v>
      </x:c>
      <x:c r="C843" s="19" t="n">
        <x:v>1</x:v>
      </x:c>
      <x:c r="D843" s="19" t="str">
        <x:v>必需</x:v>
      </x:c>
      <x:c r="E843" s="19" t="str">
        <x:v>管理接口</x:v>
      </x:c>
      <x:c r="F843" s="19" t="str">
        <x:v>可插拔模块使用CMIS管理</x:v>
      </x:c>
    </x:row>
    <x:row r="844" ht="15" hidden="0" customHeight="1">
      <x:c r="A844" s="19" t="str">
        <x:v>1600-O224-2DR4-8E8O-SIPH</x:v>
      </x:c>
      <x:c r="B844" s="19" t="str">
        <x:v>C010</x:v>
      </x:c>
      <x:c r="C844" s="19" t="n">
        <x:v>1</x:v>
      </x:c>
      <x:c r="D844" s="19" t="str">
        <x:v>按实现</x:v>
      </x:c>
      <x:c r="E844" s="19" t="str">
        <x:v>代表性</x:v>
      </x:c>
      <x:c r="F844" s="19" t="str">
        <x:v>模块控制与校准</x:v>
      </x:c>
    </x:row>
    <x:row r="845" ht="15" hidden="0" customHeight="1">
      <x:c r="A845" s="19" t="str">
        <x:v>1600-O224-2DR4-8E8O-SIPH</x:v>
      </x:c>
      <x:c r="B845" s="19" t="str">
        <x:v>C058</x:v>
      </x:c>
      <x:c r="C845" s="19" t="n">
        <x:v>1</x:v>
      </x:c>
      <x:c r="D845" s="19" t="str">
        <x:v>按实现</x:v>
      </x:c>
      <x:c r="E845" s="19" t="str">
        <x:v>时钟架构</x:v>
      </x:c>
      <x:c r="F845" s="19" t="str">
        <x:v>可由主机提供REFCLK或使用模块内时钟器件</x:v>
      </x:c>
    </x:row>
    <x:row r="846" ht="15" hidden="0" customHeight="1">
      <x:c r="A846" s="19" t="str">
        <x:v>1600-O224-2DR4-8E8O-SIPH</x:v>
      </x:c>
      <x:c r="B846" s="19" t="str">
        <x:v>C059</x:v>
      </x:c>
      <x:c r="C846" s="19" t="n">
        <x:v>1</x:v>
      </x:c>
      <x:c r="D846" s="19" t="str">
        <x:v>必需/可集成</x:v>
      </x:c>
      <x:c r="E846" s="19" t="str">
        <x:v>监控功能</x:v>
      </x:c>
      <x:c r="F846" s="19" t="str">
        <x:v>CMIS/控制系统温度监测</x:v>
      </x:c>
    </x:row>
    <x:row r="847" ht="15" hidden="0" customHeight="1">
      <x:c r="A847" s="19" t="str">
        <x:v>1600-O224-2DR4-8E8O-SIPH</x:v>
      </x:c>
      <x:c r="B847" s="19" t="str">
        <x:v>C060</x:v>
      </x:c>
      <x:c r="C847" s="19" t="n">
        <x:v>1</x:v>
      </x:c>
      <x:c r="D847" s="19" t="str">
        <x:v>必需</x:v>
      </x:c>
      <x:c r="E847" s="19" t="str">
        <x:v>器件组</x:v>
      </x:c>
      <x:c r="F847" s="19" t="str">
        <x:v>R/C/L数量不按lane数表示</x:v>
      </x:c>
    </x:row>
    <x:row r="848" ht="15" hidden="0" customHeight="1">
      <x:c r="A848" s="19" t="str">
        <x:v>1600-O224-2DR4-8E8O-SIPH</x:v>
      </x:c>
      <x:c r="B848" s="19" t="str">
        <x:v>C062</x:v>
      </x:c>
      <x:c r="C848" s="19" t="n">
        <x:v>1</x:v>
      </x:c>
      <x:c r="D848" s="19" t="str">
        <x:v>按封装</x:v>
      </x:c>
      <x:c r="E848" s="19" t="str">
        <x:v>互连工艺</x:v>
      </x:c>
      <x:c r="F848" s="19" t="str">
        <x:v>flip-chip平台使用</x:v>
      </x:c>
    </x:row>
    <x:row r="849" ht="15" hidden="0" customHeight="1">
      <x:c r="A849" s="19" t="str">
        <x:v>1600-O224-2DR4-8E8O-SIPH</x:v>
      </x:c>
      <x:c r="B849" s="19" t="str">
        <x:v>C063</x:v>
      </x:c>
      <x:c r="C849" s="19" t="n">
        <x:v>1</x:v>
      </x:c>
      <x:c r="D849" s="19" t="str">
        <x:v>按封装</x:v>
      </x:c>
      <x:c r="E849" s="19" t="str">
        <x:v>互连工艺</x:v>
      </x:c>
      <x:c r="F849" s="19" t="str">
        <x:v>wire/ribbon bond平台使用</x:v>
      </x:c>
    </x:row>
    <x:row r="850" ht="15" hidden="0" customHeight="1">
      <x:c r="A850" s="19" t="str">
        <x:v>1600-O224-2DR4-8E8O-SIPH</x:v>
      </x:c>
      <x:c r="B850" s="19" t="str">
        <x:v>C011</x:v>
      </x:c>
      <x:c r="C850" s="19" t="n">
        <x:v>1</x:v>
      </x:c>
      <x:c r="D850" s="19" t="str">
        <x:v>必需</x:v>
      </x:c>
      <x:c r="E850" s="19" t="str">
        <x:v>架构级</x:v>
      </x:c>
      <x:c r="F850" s="19" t="str">
        <x:v>含DSP</x:v>
      </x:c>
    </x:row>
    <x:row r="851" ht="15" hidden="0" customHeight="1">
      <x:c r="A851" s="19" t="str">
        <x:v>1600-O224-2DR4-8E8O-SIPH</x:v>
      </x:c>
      <x:c r="B851" s="19" t="str">
        <x:v>C014</x:v>
      </x:c>
      <x:c r="C851" s="19" t="n">
        <x:v>8</x:v>
      </x:c>
      <x:c r="D851" s="19" t="str">
        <x:v>必需</x:v>
      </x:c>
      <x:c r="E851" s="19" t="str">
        <x:v>功能通道数</x:v>
      </x:c>
      <x:c r="F851" s="19" t="str">
        <x:v>可能为阵列/多通道die，非精确封装颗数</x:v>
      </x:c>
    </x:row>
    <x:row r="852" ht="15" hidden="0" customHeight="1">
      <x:c r="A852" s="19" t="str">
        <x:v>1600-O224-2DR4-8E8O-SIPH</x:v>
      </x:c>
      <x:c r="B852" s="19" t="str">
        <x:v>C015</x:v>
      </x:c>
      <x:c r="C852" s="19" t="n">
        <x:v>8</x:v>
      </x:c>
      <x:c r="D852" s="19" t="str">
        <x:v>必需</x:v>
      </x:c>
      <x:c r="E852" s="19" t="str">
        <x:v>功能通道数</x:v>
      </x:c>
      <x:c r="F852" s="19" t="str">
        <x:v>可能为阵列/多通道die，非精确封装颗数</x:v>
      </x:c>
    </x:row>
    <x:row r="853" ht="15" hidden="0" customHeight="1">
      <x:c r="A853" s="19" t="str">
        <x:v>1600-O224-2DR4-8E8O-SIPH</x:v>
      </x:c>
      <x:c r="B853" s="19" t="str">
        <x:v>C025</x:v>
      </x:c>
      <x:c r="C853" s="19" t="n">
        <x:v>1</x:v>
      </x:c>
      <x:c r="D853" s="19" t="str">
        <x:v>必需</x:v>
      </x:c>
      <x:c r="E853" s="19" t="str">
        <x:v>PIC级</x:v>
      </x:c>
      <x:c r="F853" s="19" t="str">
        <x:v>具体是否MZM或MRR需供应商证据</x:v>
      </x:c>
    </x:row>
    <x:row r="854" ht="15" hidden="0" customHeight="1">
      <x:c r="A854" s="19" t="str">
        <x:v>1600-O224-2DR4-8E8O-SIPH</x:v>
      </x:c>
      <x:c r="B854" s="19" t="str">
        <x:v>C026</x:v>
      </x:c>
      <x:c r="C854" s="19" t="n">
        <x:v>8</x:v>
      </x:c>
      <x:c r="D854" s="19" t="str">
        <x:v>代表性</x:v>
      </x:c>
      <x:c r="E854" s="19" t="str">
        <x:v>微结构</x:v>
      </x:c>
      <x:c r="F854" s="19" t="str">
        <x:v>默认以MZM表示，若厂商披露MRR应改用C027</x:v>
      </x:c>
    </x:row>
    <x:row r="855" ht="15" hidden="0" customHeight="1">
      <x:c r="A855" s="19" t="str">
        <x:v>1600-O224-2DR4-8E8O-SIPH</x:v>
      </x:c>
      <x:c r="B855" s="19" t="str">
        <x:v>C028</x:v>
      </x:c>
      <x:c r="C855" s="19" t="n">
        <x:v>8</x:v>
      </x:c>
      <x:c r="D855" s="19" t="str">
        <x:v>内嵌</x:v>
      </x:c>
      <x:c r="E855" s="19" t="str">
        <x:v>微结构</x:v>
      </x:c>
      <x:c r="F855" s="19" t="str">
        <x:v>相移器</x:v>
      </x:c>
    </x:row>
    <x:row r="856" ht="15" hidden="0" customHeight="1">
      <x:c r="A856" s="19" t="str">
        <x:v>1600-O224-2DR4-8E8O-SIPH</x:v>
      </x:c>
      <x:c r="B856" s="19" t="str">
        <x:v>C029</x:v>
      </x:c>
      <x:c r="C856" s="19" t="n">
        <x:v>8</x:v>
      </x:c>
      <x:c r="D856" s="19" t="str">
        <x:v>内嵌</x:v>
      </x:c>
      <x:c r="E856" s="19" t="str">
        <x:v>微结构</x:v>
      </x:c>
      <x:c r="F856" s="19" t="str">
        <x:v>片上光路</x:v>
      </x:c>
    </x:row>
    <x:row r="857" ht="15" hidden="0" customHeight="1">
      <x:c r="A857" s="19" t="str">
        <x:v>1600-O224-2DR4-8E8O-SIPH</x:v>
      </x:c>
      <x:c r="B857" s="19" t="str">
        <x:v>C064</x:v>
      </x:c>
      <x:c r="C857" s="19" t="n">
        <x:v>1</x:v>
      </x:c>
      <x:c r="D857" s="19" t="str">
        <x:v>按实现</x:v>
      </x:c>
      <x:c r="E857" s="19" t="str">
        <x:v>微结构</x:v>
      </x:c>
      <x:c r="F857" s="19" t="str">
        <x:v>偏振管理</x:v>
      </x:c>
    </x:row>
    <x:row r="858" ht="15" hidden="0" customHeight="1">
      <x:c r="A858" s="19" t="str">
        <x:v>1600-O224-2DR4-8E8O-SIPH</x:v>
      </x:c>
      <x:c r="B858" s="19" t="str">
        <x:v>C065</x:v>
      </x:c>
      <x:c r="C858" s="19" t="n">
        <x:v>1</x:v>
      </x:c>
      <x:c r="D858" s="19" t="str">
        <x:v>按实现</x:v>
      </x:c>
      <x:c r="E858" s="19" t="str">
        <x:v>微结构</x:v>
      </x:c>
      <x:c r="F858" s="19" t="str">
        <x:v>抽光监控</x:v>
      </x:c>
    </x:row>
    <x:row r="859" ht="15" hidden="0" customHeight="1">
      <x:c r="A859" s="19" t="str">
        <x:v>1600-O224-2DR4-8E8O-SIPH</x:v>
      </x:c>
      <x:c r="B859" s="19" t="str">
        <x:v>C066</x:v>
      </x:c>
      <x:c r="C859" s="19" t="n">
        <x:v>1</x:v>
      </x:c>
      <x:c r="D859" s="19" t="str">
        <x:v>按实现</x:v>
      </x:c>
      <x:c r="E859" s="19" t="str">
        <x:v>微结构</x:v>
      </x:c>
      <x:c r="F859" s="19" t="str">
        <x:v>微环/AWG/滤波结构热调谐</x:v>
      </x:c>
    </x:row>
    <x:row r="860" ht="15" hidden="0" customHeight="1">
      <x:c r="A860" s="19" t="str">
        <x:v>1600-O224-2DR4-8E8O-SIPH</x:v>
      </x:c>
      <x:c r="B860" s="19" t="str">
        <x:v>C030</x:v>
      </x:c>
      <x:c r="C860" s="19" t="n">
        <x:v>8</x:v>
      </x:c>
      <x:c r="D860" s="19" t="str">
        <x:v>必需</x:v>
      </x:c>
      <x:c r="E860" s="19" t="str">
        <x:v>光通道</x:v>
      </x:c>
      <x:c r="F860" s="19" t="str">
        <x:v>Ge/Si PIN</x:v>
      </x:c>
    </x:row>
    <x:row r="861" ht="15" hidden="0" customHeight="1">
      <x:c r="A861" s="19" t="str">
        <x:v>1600-O224-2DR4-8E8O-SIPH</x:v>
      </x:c>
      <x:c r="B861" s="19" t="str">
        <x:v>C039</x:v>
      </x:c>
      <x:c r="C861" s="19" t="n">
        <x:v>8</x:v>
      </x:c>
      <x:c r="D861" s="19" t="str">
        <x:v>二选一</x:v>
      </x:c>
      <x:c r="E861" s="19" t="str">
        <x:v>耦合方式</x:v>
      </x:c>
      <x:c r="F861" s="19" t="str">
        <x:v>与边缘耦合器二选一或混用</x:v>
      </x:c>
    </x:row>
    <x:row r="862" ht="15" hidden="0" customHeight="1">
      <x:c r="A862" s="19" t="str">
        <x:v>1600-O224-2DR4-8E8O-SIPH</x:v>
      </x:c>
      <x:c r="B862" s="19" t="str">
        <x:v>C040</x:v>
      </x:c>
      <x:c r="C862" s="19" t="n">
        <x:v>8</x:v>
      </x:c>
      <x:c r="D862" s="19" t="str">
        <x:v>二选一</x:v>
      </x:c>
      <x:c r="E862" s="19" t="str">
        <x:v>耦合方式</x:v>
      </x:c>
      <x:c r="F862" s="19" t="str">
        <x:v>与光栅耦合器二选一或混用</x:v>
      </x:c>
    </x:row>
    <x:row r="863" ht="15" hidden="0" customHeight="1">
      <x:c r="A863" s="19" t="str">
        <x:v>1600-O224-2DR4-8E8O-SIPH</x:v>
      </x:c>
      <x:c r="B863" s="19" t="str">
        <x:v>C023</x:v>
      </x:c>
      <x:c r="C863" s="19" t="n">
        <x:v>1</x:v>
      </x:c>
      <x:c r="D863" s="19" t="str">
        <x:v>必需</x:v>
      </x:c>
      <x:c r="E863" s="19" t="str">
        <x:v>光源级</x:v>
      </x:c>
      <x:c r="F863" s="19" t="str">
        <x:v>可为多波长/多激光阵列</x:v>
      </x:c>
    </x:row>
    <x:row r="864" ht="15" hidden="0" customHeight="1">
      <x:c r="A864" s="19" t="str">
        <x:v>1600-O224-2DR4-8E8O-SIPH</x:v>
      </x:c>
      <x:c r="B864" s="19" t="str">
        <x:v>C022</x:v>
      </x:c>
      <x:c r="C864" s="19" t="n">
        <x:v>1</x:v>
      </x:c>
      <x:c r="D864" s="19" t="str">
        <x:v>内嵌</x:v>
      </x:c>
      <x:c r="E864" s="19" t="str">
        <x:v>微结构</x:v>
      </x:c>
      <x:c r="F864" s="19" t="str">
        <x:v>CW DFB内部光栅</x:v>
      </x:c>
    </x:row>
    <x:row r="865" ht="15" hidden="0" customHeight="1">
      <x:c r="A865" s="19" t="str">
        <x:v>1600-O224-2DR4-8E8O-SIPH</x:v>
      </x:c>
      <x:c r="B865" s="19" t="str">
        <x:v>C049</x:v>
      </x:c>
      <x:c r="C865" s="19" t="n">
        <x:v>8</x:v>
      </x:c>
      <x:c r="D865" s="19" t="str">
        <x:v>必需</x:v>
      </x:c>
      <x:c r="E865" s="19" t="str">
        <x:v>光纤通道</x:v>
      </x:c>
      <x:c r="F865" s="19" t="str">
        <x:v>PSM SMF</x:v>
      </x:c>
    </x:row>
    <x:row r="866" ht="15" hidden="0" customHeight="1">
      <x:c r="A866" s="19"/>
      <x:c r="B866" s="19"/>
      <x:c r="C866" s="19"/>
      <x:c r="D866" s="19"/>
      <x:c r="E866" s="19"/>
      <x:c r="F866" s="19"/>
    </x:row>
    <x:row r="867" ht="15" hidden="0" customHeight="1">
      <x:c r="A867" s="19"/>
      <x:c r="B867" s="19"/>
      <x:c r="C867" s="19"/>
      <x:c r="D867" s="19"/>
      <x:c r="E867" s="19"/>
      <x:c r="F867" s="19"/>
    </x:row>
    <x:row r="868" ht="15" hidden="0" customHeight="1">
      <x:c r="A868" s="19"/>
      <x:c r="B868" s="19"/>
      <x:c r="C868" s="19"/>
      <x:c r="D868" s="19"/>
      <x:c r="E868" s="19"/>
      <x:c r="F868" s="19"/>
    </x:row>
    <x:row r="869" ht="15" hidden="0" customHeight="1">
      <x:c r="A869" s="19" t="str">
        <x:v>1600-O224-2DR4-8E8O-SIPH</x:v>
      </x:c>
      <x:c r="B869" s="19" t="str">
        <x:v>C037</x:v>
      </x:c>
      <x:c r="C869" s="19" t="n">
        <x:v>8</x:v>
      </x:c>
      <x:c r="D869" s="19" t="str">
        <x:v>按实现</x:v>
      </x:c>
      <x:c r="E869" s="19" t="str">
        <x:v>光通道</x:v>
      </x:c>
      <x:c r="F869" s="19" t="str">
        <x:v>自由空间/阵列耦合时使用</x:v>
      </x:c>
    </x:row>
    <x:row r="870" ht="15" hidden="0" customHeight="1">
      <x:c r="A870" s="19" t="str">
        <x:v>1600-O224-2DR4-8E8O-SIPH</x:v>
      </x:c>
      <x:c r="B870" s="19" t="str">
        <x:v>C038</x:v>
      </x:c>
      <x:c r="C870" s="19" t="n">
        <x:v>8</x:v>
      </x:c>
      <x:c r="D870" s="19" t="str">
        <x:v>按实现</x:v>
      </x:c>
      <x:c r="E870" s="19" t="str">
        <x:v>光通道</x:v>
      </x:c>
      <x:c r="F870" s="19" t="str">
        <x:v>FAU可能按阵列封装，不等于单根数量</x:v>
      </x:c>
    </x:row>
    <x:row r="871" ht="15" hidden="0" customHeight="1">
      <x:c r="A871" s="19" t="str">
        <x:v>1600-O224-2DR4-8E8O-SIPH</x:v>
      </x:c>
      <x:c r="B871" s="19" t="str">
        <x:v>C044</x:v>
      </x:c>
      <x:c r="C871" s="19" t="n">
        <x:v>2</x:v>
      </x:c>
      <x:c r="D871" s="19" t="str">
        <x:v>必需</x:v>
      </x:c>
      <x:c r="E871" s="19" t="str">
        <x:v>连接器级</x:v>
      </x:c>
      <x:c r="F871" s="19" t="str">
        <x:v>Dual MPO12</x:v>
      </x:c>
    </x:row>
    <x:row r="872" ht="15" hidden="0" customHeight="1">
      <x:c r="A872" s="19" t="str">
        <x:v>1600-O224-2DR4-8E8O-SIPH</x:v>
      </x:c>
      <x:c r="B872" s="19" t="str">
        <x:v>C045</x:v>
      </x:c>
      <x:c r="C872" s="19" t="n">
        <x:v>2</x:v>
      </x:c>
      <x:c r="D872" s="19" t="str">
        <x:v>内嵌</x:v>
      </x:c>
      <x:c r="E872" s="19" t="str">
        <x:v>连接器级</x:v>
      </x:c>
      <x:c r="F872" s="19" t="str">
        <x:v>MT插芯</x:v>
      </x:c>
    </x:row>
    <x:row r="873" ht="15" hidden="0" customHeight="1">
      <x:c r="A873" s="19" t="str">
        <x:v>1600-O224-2DR4-8E8O-SIPH</x:v>
      </x:c>
      <x:c r="B873" s="19" t="str">
        <x:v>C046</x:v>
      </x:c>
      <x:c r="C873" s="19" t="n">
        <x:v>2</x:v>
      </x:c>
      <x:c r="D873" s="19" t="str">
        <x:v>内嵌</x:v>
      </x:c>
      <x:c r="E873" s="19" t="str">
        <x:v>连接器级</x:v>
      </x:c>
      <x:c r="F873" s="19" t="str">
        <x:v>导针与弹簧</x:v>
      </x:c>
    </x:row>
    <x:row r="874" ht="15" hidden="0" customHeight="1">
      <x:c r="A874" s="19" t="str">
        <x:v>1600-O224-2DR4-8E8O-SIPH</x:v>
      </x:c>
      <x:c r="B874" s="19" t="str">
        <x:v>C053</x:v>
      </x:c>
      <x:c r="C874" s="19" t="n">
        <x:v>1</x:v>
      </x:c>
      <x:c r="D874" s="19" t="str">
        <x:v>必需</x:v>
      </x:c>
      <x:c r="E874" s="19" t="str">
        <x:v>热管理</x:v>
      </x:c>
      <x:c r="F874" s="19" t="str">
        <x:v>TIM</x:v>
      </x:c>
    </x:row>
    <x:row r="875" ht="15" hidden="0" customHeight="1">
      <x:c r="A875" s="19" t="str">
        <x:v>1600-O224-2DR4-8E8O-SIPH</x:v>
      </x:c>
      <x:c r="B875" s="19" t="str">
        <x:v>C054</x:v>
      </x:c>
      <x:c r="C875" s="19" t="n">
        <x:v>1</x:v>
      </x:c>
      <x:c r="D875" s="19" t="str">
        <x:v>按实现</x:v>
      </x:c>
      <x:c r="E875" s="19" t="str">
        <x:v>封装</x:v>
      </x:c>
      <x:c r="F875" s="19" t="str">
        <x:v>光学胶/底填</x:v>
      </x:c>
    </x:row>
    <x:row r="876" ht="15" hidden="0" customHeight="1">
      <x:c r="A876" s="19" t="str">
        <x:v>1600-O224-2FR4-8E8O-SIPH</x:v>
      </x:c>
      <x:c r="B876" s="19" t="str">
        <x:v>C001</x:v>
      </x:c>
      <x:c r="C876" s="19" t="n">
        <x:v>1</x:v>
      </x:c>
      <x:c r="D876" s="19" t="str">
        <x:v>必需</x:v>
      </x:c>
      <x:c r="E876" s="19" t="str">
        <x:v>形态级</x:v>
      </x:c>
      <x:c r="F876" s="19" t="str">
        <x:v>OSFP224</x:v>
      </x:c>
    </x:row>
    <x:row r="877" ht="15" hidden="0" customHeight="1">
      <x:c r="A877" s="19" t="str">
        <x:v>1600-O224-2FR4-8E8O-SIPH</x:v>
      </x:c>
      <x:c r="B877" s="19" t="str">
        <x:v>C002</x:v>
      </x:c>
      <x:c r="C877" s="19" t="n">
        <x:v>1</x:v>
      </x:c>
      <x:c r="D877" s="19" t="str">
        <x:v>必需</x:v>
      </x:c>
      <x:c r="E877" s="19" t="str">
        <x:v>形态级</x:v>
      </x:c>
      <x:c r="F877" s="19" t="str">
        <x:v>散热能力需按功耗校核</x:v>
      </x:c>
    </x:row>
    <x:row r="878" ht="15" hidden="0" customHeight="1">
      <x:c r="A878" s="19" t="str">
        <x:v>1600-O224-2FR4-8E8O-SIPH</x:v>
      </x:c>
      <x:c r="B878" s="19" t="str">
        <x:v>C003</x:v>
      </x:c>
      <x:c r="C878" s="19" t="n">
        <x:v>1</x:v>
      </x:c>
      <x:c r="D878" s="19" t="str">
        <x:v>必需</x:v>
      </x:c>
      <x:c r="E878" s="19" t="str">
        <x:v>形态级</x:v>
      </x:c>
      <x:c r="F878" s="19" t="str">
        <x:v>CPO无传统前面板模块拉环</x:v>
      </x:c>
    </x:row>
    <x:row r="879" ht="15" hidden="0" customHeight="1">
      <x:c r="A879" s="19" t="str">
        <x:v>1600-O224-2FR4-8E8O-SIPH</x:v>
      </x:c>
      <x:c r="B879" s="19" t="str">
        <x:v>C004</x:v>
      </x:c>
      <x:c r="C879" s="19" t="n">
        <x:v>1</x:v>
      </x:c>
      <x:c r="D879" s="19" t="str">
        <x:v>必需</x:v>
      </x:c>
      <x:c r="E879" s="19" t="str">
        <x:v>代表性</x:v>
      </x:c>
      <x:c r="F879" s="19" t="str">
        <x:v>EMI屏蔽结构依外壳设计</x:v>
      </x:c>
    </x:row>
    <x:row r="880" ht="15" hidden="0" customHeight="1">
      <x:c r="A880" s="19" t="str">
        <x:v>1600-O224-2FR4-8E8O-SIPH</x:v>
      </x:c>
      <x:c r="B880" s="19" t="str">
        <x:v>C005</x:v>
      </x:c>
      <x:c r="C880" s="19" t="n">
        <x:v>1</x:v>
      </x:c>
      <x:c r="D880" s="19" t="str">
        <x:v>必需</x:v>
      </x:c>
      <x:c r="E880" s="19" t="str">
        <x:v>代表性</x:v>
      </x:c>
      <x:c r="F880" s="19" t="str">
        <x:v>CPO可采用封装基板+系统PCB</x:v>
      </x:c>
    </x:row>
    <x:row r="881" ht="15" hidden="0" customHeight="1">
      <x:c r="A881" s="19" t="str">
        <x:v>1600-O224-2FR4-8E8O-SIPH</x:v>
      </x:c>
      <x:c r="B881" s="19" t="str">
        <x:v>C056</x:v>
      </x:c>
      <x:c r="C881" s="19" t="n">
        <x:v>1</x:v>
      </x:c>
      <x:c r="D881" s="19" t="str">
        <x:v>必需</x:v>
      </x:c>
      <x:c r="E881" s="19" t="str">
        <x:v>形态级</x:v>
      </x:c>
      <x:c r="F881" s="19" t="str">
        <x:v>可插拔模块主机侧金手指/电连接器</x:v>
      </x:c>
    </x:row>
    <x:row r="882" ht="15" hidden="0" customHeight="1">
      <x:c r="A882" s="19" t="str">
        <x:v>1600-O224-2FR4-8E8O-SIPH</x:v>
      </x:c>
      <x:c r="B882" s="19" t="str">
        <x:v>C057</x:v>
      </x:c>
      <x:c r="C882" s="19" t="n">
        <x:v>1</x:v>
      </x:c>
      <x:c r="D882" s="19" t="str">
        <x:v>系统配套</x:v>
      </x:c>
      <x:c r="E882" s="19" t="str">
        <x:v>系统级</x:v>
      </x:c>
      <x:c r="F882" s="19" t="str">
        <x:v>cage不属于模块内采购BOM</x:v>
      </x:c>
    </x:row>
    <x:row r="883" ht="15" hidden="0" customHeight="1">
      <x:c r="A883" s="19" t="str">
        <x:v>1600-O224-2FR4-8E8O-SIPH</x:v>
      </x:c>
      <x:c r="B883" s="19" t="str">
        <x:v>C007</x:v>
      </x:c>
      <x:c r="C883" s="19" t="n">
        <x:v>1</x:v>
      </x:c>
      <x:c r="D883" s="19" t="str">
        <x:v>必需</x:v>
      </x:c>
      <x:c r="E883" s="19" t="str">
        <x:v>代表性</x:v>
      </x:c>
      <x:c r="F883" s="19" t="str">
        <x:v>光引擎承载基板/Interposer</x:v>
      </x:c>
    </x:row>
    <x:row r="884" ht="15" hidden="0" customHeight="1">
      <x:c r="A884" s="19" t="str">
        <x:v>1600-O224-2FR4-8E8O-SIPH</x:v>
      </x:c>
      <x:c r="B884" s="19" t="str">
        <x:v>C008</x:v>
      </x:c>
      <x:c r="C884" s="19" t="n">
        <x:v>1</x:v>
      </x:c>
      <x:c r="D884" s="19" t="str">
        <x:v>必需</x:v>
      </x:c>
      <x:c r="E884" s="19" t="str">
        <x:v>代表性</x:v>
      </x:c>
      <x:c r="F884" s="19" t="str">
        <x:v>数量按功耗域，不等于精确颗数</x:v>
      </x:c>
    </x:row>
    <x:row r="885" ht="15" hidden="0" customHeight="1">
      <x:c r="A885" s="19" t="str">
        <x:v>1600-O224-2FR4-8E8O-SIPH</x:v>
      </x:c>
      <x:c r="B885" s="19" t="str">
        <x:v>C009</x:v>
      </x:c>
      <x:c r="C885" s="19" t="n">
        <x:v>1</x:v>
      </x:c>
      <x:c r="D885" s="19" t="str">
        <x:v>必需</x:v>
      </x:c>
      <x:c r="E885" s="19" t="str">
        <x:v>管理接口</x:v>
      </x:c>
      <x:c r="F885" s="19" t="str">
        <x:v>可插拔模块使用CMIS管理</x:v>
      </x:c>
    </x:row>
    <x:row r="886" ht="15" hidden="0" customHeight="1">
      <x:c r="A886" s="19" t="str">
        <x:v>1600-O224-2FR4-8E8O-SIPH</x:v>
      </x:c>
      <x:c r="B886" s="19" t="str">
        <x:v>C010</x:v>
      </x:c>
      <x:c r="C886" s="19" t="n">
        <x:v>1</x:v>
      </x:c>
      <x:c r="D886" s="19" t="str">
        <x:v>按实现</x:v>
      </x:c>
      <x:c r="E886" s="19" t="str">
        <x:v>代表性</x:v>
      </x:c>
      <x:c r="F886" s="19" t="str">
        <x:v>模块控制与校准</x:v>
      </x:c>
    </x:row>
    <x:row r="887" ht="15" hidden="0" customHeight="1">
      <x:c r="A887" s="19" t="str">
        <x:v>1600-O224-2FR4-8E8O-SIPH</x:v>
      </x:c>
      <x:c r="B887" s="19" t="str">
        <x:v>C058</x:v>
      </x:c>
      <x:c r="C887" s="19" t="n">
        <x:v>1</x:v>
      </x:c>
      <x:c r="D887" s="19" t="str">
        <x:v>按实现</x:v>
      </x:c>
      <x:c r="E887" s="19" t="str">
        <x:v>时钟架构</x:v>
      </x:c>
      <x:c r="F887" s="19" t="str">
        <x:v>可由主机提供REFCLK或使用模块内时钟器件</x:v>
      </x:c>
    </x:row>
    <x:row r="888" ht="15" hidden="0" customHeight="1">
      <x:c r="A888" s="19" t="str">
        <x:v>1600-O224-2FR4-8E8O-SIPH</x:v>
      </x:c>
      <x:c r="B888" s="19" t="str">
        <x:v>C059</x:v>
      </x:c>
      <x:c r="C888" s="19" t="n">
        <x:v>1</x:v>
      </x:c>
      <x:c r="D888" s="19" t="str">
        <x:v>必需/可集成</x:v>
      </x:c>
      <x:c r="E888" s="19" t="str">
        <x:v>监控功能</x:v>
      </x:c>
      <x:c r="F888" s="19" t="str">
        <x:v>CMIS/控制系统温度监测</x:v>
      </x:c>
    </x:row>
    <x:row r="889" ht="15" hidden="0" customHeight="1">
      <x:c r="A889" s="19" t="str">
        <x:v>1600-O224-2FR4-8E8O-SIPH</x:v>
      </x:c>
      <x:c r="B889" s="19" t="str">
        <x:v>C060</x:v>
      </x:c>
      <x:c r="C889" s="19" t="n">
        <x:v>1</x:v>
      </x:c>
      <x:c r="D889" s="19" t="str">
        <x:v>必需</x:v>
      </x:c>
      <x:c r="E889" s="19" t="str">
        <x:v>器件组</x:v>
      </x:c>
      <x:c r="F889" s="19" t="str">
        <x:v>R/C/L数量不按lane数表示</x:v>
      </x:c>
    </x:row>
    <x:row r="890" ht="15" hidden="0" customHeight="1">
      <x:c r="A890" s="19" t="str">
        <x:v>1600-O224-2FR4-8E8O-SIPH</x:v>
      </x:c>
      <x:c r="B890" s="19" t="str">
        <x:v>C062</x:v>
      </x:c>
      <x:c r="C890" s="19" t="n">
        <x:v>1</x:v>
      </x:c>
      <x:c r="D890" s="19" t="str">
        <x:v>按封装</x:v>
      </x:c>
      <x:c r="E890" s="19" t="str">
        <x:v>互连工艺</x:v>
      </x:c>
      <x:c r="F890" s="19" t="str">
        <x:v>flip-chip平台使用</x:v>
      </x:c>
    </x:row>
    <x:row r="891" ht="15" hidden="0" customHeight="1">
      <x:c r="A891" s="19" t="str">
        <x:v>1600-O224-2FR4-8E8O-SIPH</x:v>
      </x:c>
      <x:c r="B891" s="19" t="str">
        <x:v>C063</x:v>
      </x:c>
      <x:c r="C891" s="19" t="n">
        <x:v>1</x:v>
      </x:c>
      <x:c r="D891" s="19" t="str">
        <x:v>按封装</x:v>
      </x:c>
      <x:c r="E891" s="19" t="str">
        <x:v>互连工艺</x:v>
      </x:c>
      <x:c r="F891" s="19" t="str">
        <x:v>wire/ribbon bond平台使用</x:v>
      </x:c>
    </x:row>
    <x:row r="892" ht="15" hidden="0" customHeight="1">
      <x:c r="A892" s="19" t="str">
        <x:v>1600-O224-2FR4-8E8O-SIPH</x:v>
      </x:c>
      <x:c r="B892" s="19" t="str">
        <x:v>C011</x:v>
      </x:c>
      <x:c r="C892" s="19" t="n">
        <x:v>1</x:v>
      </x:c>
      <x:c r="D892" s="19" t="str">
        <x:v>必需</x:v>
      </x:c>
      <x:c r="E892" s="19" t="str">
        <x:v>架构级</x:v>
      </x:c>
      <x:c r="F892" s="19" t="str">
        <x:v>含DSP</x:v>
      </x:c>
    </x:row>
    <x:row r="893" ht="15" hidden="0" customHeight="1">
      <x:c r="A893" s="19" t="str">
        <x:v>1600-O224-2FR4-8E8O-SIPH</x:v>
      </x:c>
      <x:c r="B893" s="19" t="str">
        <x:v>C014</x:v>
      </x:c>
      <x:c r="C893" s="19" t="n">
        <x:v>8</x:v>
      </x:c>
      <x:c r="D893" s="19" t="str">
        <x:v>必需</x:v>
      </x:c>
      <x:c r="E893" s="19" t="str">
        <x:v>功能通道数</x:v>
      </x:c>
      <x:c r="F893" s="19" t="str">
        <x:v>可能为阵列/多通道die，非精确封装颗数</x:v>
      </x:c>
    </x:row>
    <x:row r="894" ht="15" hidden="0" customHeight="1">
      <x:c r="A894" s="19" t="str">
        <x:v>1600-O224-2FR4-8E8O-SIPH</x:v>
      </x:c>
      <x:c r="B894" s="19" t="str">
        <x:v>C015</x:v>
      </x:c>
      <x:c r="C894" s="19" t="n">
        <x:v>8</x:v>
      </x:c>
      <x:c r="D894" s="19" t="str">
        <x:v>必需</x:v>
      </x:c>
      <x:c r="E894" s="19" t="str">
        <x:v>功能通道数</x:v>
      </x:c>
      <x:c r="F894" s="19" t="str">
        <x:v>可能为阵列/多通道die，非精确封装颗数</x:v>
      </x:c>
    </x:row>
    <x:row r="895" ht="15" hidden="0" customHeight="1">
      <x:c r="A895" s="19" t="str">
        <x:v>1600-O224-2FR4-8E8O-SIPH</x:v>
      </x:c>
      <x:c r="B895" s="19" t="str">
        <x:v>C025</x:v>
      </x:c>
      <x:c r="C895" s="19" t="n">
        <x:v>1</x:v>
      </x:c>
      <x:c r="D895" s="19" t="str">
        <x:v>必需</x:v>
      </x:c>
      <x:c r="E895" s="19" t="str">
        <x:v>PIC级</x:v>
      </x:c>
      <x:c r="F895" s="19" t="str">
        <x:v>具体是否MZM或MRR需供应商证据</x:v>
      </x:c>
    </x:row>
    <x:row r="896" ht="15" hidden="0" customHeight="1">
      <x:c r="A896" s="19" t="str">
        <x:v>1600-O224-2FR4-8E8O-SIPH</x:v>
      </x:c>
      <x:c r="B896" s="19" t="str">
        <x:v>C026</x:v>
      </x:c>
      <x:c r="C896" s="19" t="n">
        <x:v>8</x:v>
      </x:c>
      <x:c r="D896" s="19" t="str">
        <x:v>代表性</x:v>
      </x:c>
      <x:c r="E896" s="19" t="str">
        <x:v>微结构</x:v>
      </x:c>
      <x:c r="F896" s="19" t="str">
        <x:v>默认以MZM表示，若厂商披露MRR应改用C027</x:v>
      </x:c>
    </x:row>
    <x:row r="897" ht="15" hidden="0" customHeight="1">
      <x:c r="A897" s="19" t="str">
        <x:v>1600-O224-2FR4-8E8O-SIPH</x:v>
      </x:c>
      <x:c r="B897" s="19" t="str">
        <x:v>C028</x:v>
      </x:c>
      <x:c r="C897" s="19" t="n">
        <x:v>8</x:v>
      </x:c>
      <x:c r="D897" s="19" t="str">
        <x:v>内嵌</x:v>
      </x:c>
      <x:c r="E897" s="19" t="str">
        <x:v>微结构</x:v>
      </x:c>
      <x:c r="F897" s="19" t="str">
        <x:v>相移器</x:v>
      </x:c>
    </x:row>
    <x:row r="898" ht="15" hidden="0" customHeight="1">
      <x:c r="A898" s="19" t="str">
        <x:v>1600-O224-2FR4-8E8O-SIPH</x:v>
      </x:c>
      <x:c r="B898" s="19" t="str">
        <x:v>C029</x:v>
      </x:c>
      <x:c r="C898" s="19" t="n">
        <x:v>8</x:v>
      </x:c>
      <x:c r="D898" s="19" t="str">
        <x:v>内嵌</x:v>
      </x:c>
      <x:c r="E898" s="19" t="str">
        <x:v>微结构</x:v>
      </x:c>
      <x:c r="F898" s="19" t="str">
        <x:v>片上光路</x:v>
      </x:c>
    </x:row>
    <x:row r="899" ht="15" hidden="0" customHeight="1">
      <x:c r="A899" s="19" t="str">
        <x:v>1600-O224-2FR4-8E8O-SIPH</x:v>
      </x:c>
      <x:c r="B899" s="19" t="str">
        <x:v>C064</x:v>
      </x:c>
      <x:c r="C899" s="19" t="n">
        <x:v>1</x:v>
      </x:c>
      <x:c r="D899" s="19" t="str">
        <x:v>按实现</x:v>
      </x:c>
      <x:c r="E899" s="19" t="str">
        <x:v>微结构</x:v>
      </x:c>
      <x:c r="F899" s="19" t="str">
        <x:v>偏振管理</x:v>
      </x:c>
    </x:row>
    <x:row r="900" ht="15" hidden="0" customHeight="1">
      <x:c r="A900" s="19" t="str">
        <x:v>1600-O224-2FR4-8E8O-SIPH</x:v>
      </x:c>
      <x:c r="B900" s="19" t="str">
        <x:v>C065</x:v>
      </x:c>
      <x:c r="C900" s="19" t="n">
        <x:v>1</x:v>
      </x:c>
      <x:c r="D900" s="19" t="str">
        <x:v>按实现</x:v>
      </x:c>
      <x:c r="E900" s="19" t="str">
        <x:v>微结构</x:v>
      </x:c>
      <x:c r="F900" s="19" t="str">
        <x:v>抽光监控</x:v>
      </x:c>
    </x:row>
    <x:row r="901" ht="15" hidden="0" customHeight="1">
      <x:c r="A901" s="19" t="str">
        <x:v>1600-O224-2FR4-8E8O-SIPH</x:v>
      </x:c>
      <x:c r="B901" s="19" t="str">
        <x:v>C066</x:v>
      </x:c>
      <x:c r="C901" s="19" t="n">
        <x:v>1</x:v>
      </x:c>
      <x:c r="D901" s="19" t="str">
        <x:v>按实现</x:v>
      </x:c>
      <x:c r="E901" s="19" t="str">
        <x:v>微结构</x:v>
      </x:c>
      <x:c r="F901" s="19" t="str">
        <x:v>微环/AWG/滤波结构热调谐</x:v>
      </x:c>
    </x:row>
    <x:row r="902" ht="15" hidden="0" customHeight="1">
      <x:c r="A902" s="19" t="str">
        <x:v>1600-O224-2FR4-8E8O-SIPH</x:v>
      </x:c>
      <x:c r="B902" s="19" t="str">
        <x:v>C030</x:v>
      </x:c>
      <x:c r="C902" s="19" t="n">
        <x:v>8</x:v>
      </x:c>
      <x:c r="D902" s="19" t="str">
        <x:v>必需</x:v>
      </x:c>
      <x:c r="E902" s="19" t="str">
        <x:v>光通道</x:v>
      </x:c>
      <x:c r="F902" s="19" t="str">
        <x:v>Ge/Si PIN</x:v>
      </x:c>
    </x:row>
    <x:row r="903" ht="15" hidden="0" customHeight="1">
      <x:c r="A903" s="19" t="str">
        <x:v>1600-O224-2FR4-8E8O-SIPH</x:v>
      </x:c>
      <x:c r="B903" s="19" t="str">
        <x:v>C039</x:v>
      </x:c>
      <x:c r="C903" s="19" t="n">
        <x:v>8</x:v>
      </x:c>
      <x:c r="D903" s="19" t="str">
        <x:v>二选一</x:v>
      </x:c>
      <x:c r="E903" s="19" t="str">
        <x:v>耦合方式</x:v>
      </x:c>
      <x:c r="F903" s="19" t="str">
        <x:v>与边缘耦合器二选一或混用</x:v>
      </x:c>
    </x:row>
    <x:row r="904" ht="15" hidden="0" customHeight="1">
      <x:c r="A904" s="19" t="str">
        <x:v>1600-O224-2FR4-8E8O-SIPH</x:v>
      </x:c>
      <x:c r="B904" s="19" t="str">
        <x:v>C040</x:v>
      </x:c>
      <x:c r="C904" s="19" t="n">
        <x:v>8</x:v>
      </x:c>
      <x:c r="D904" s="19" t="str">
        <x:v>二选一</x:v>
      </x:c>
      <x:c r="E904" s="19" t="str">
        <x:v>耦合方式</x:v>
      </x:c>
      <x:c r="F904" s="19" t="str">
        <x:v>与光栅耦合器二选一或混用</x:v>
      </x:c>
    </x:row>
    <x:row r="905" ht="15" hidden="0" customHeight="1">
      <x:c r="A905" s="19" t="str">
        <x:v>1600-O224-2FR4-8E8O-SIPH</x:v>
      </x:c>
      <x:c r="B905" s="19" t="str">
        <x:v>C023</x:v>
      </x:c>
      <x:c r="C905" s="19" t="n">
        <x:v>1</x:v>
      </x:c>
      <x:c r="D905" s="19" t="str">
        <x:v>必需</x:v>
      </x:c>
      <x:c r="E905" s="19" t="str">
        <x:v>光源级</x:v>
      </x:c>
      <x:c r="F905" s="19" t="str">
        <x:v>可为多波长/多激光阵列</x:v>
      </x:c>
    </x:row>
    <x:row r="906" ht="15" hidden="0" customHeight="1">
      <x:c r="A906" s="19" t="str">
        <x:v>1600-O224-2FR4-8E8O-SIPH</x:v>
      </x:c>
      <x:c r="B906" s="19" t="str">
        <x:v>C022</x:v>
      </x:c>
      <x:c r="C906" s="19" t="n">
        <x:v>1</x:v>
      </x:c>
      <x:c r="D906" s="19" t="str">
        <x:v>内嵌</x:v>
      </x:c>
      <x:c r="E906" s="19" t="str">
        <x:v>微结构</x:v>
      </x:c>
      <x:c r="F906" s="19" t="str">
        <x:v>CW DFB内部光栅</x:v>
      </x:c>
    </x:row>
    <x:row r="907" ht="15" hidden="0" customHeight="1">
      <x:c r="A907" s="19" t="str">
        <x:v>1600-O224-2FR4-8E8O-SIPH</x:v>
      </x:c>
      <x:c r="B907" s="19" t="str">
        <x:v>C049</x:v>
      </x:c>
      <x:c r="C907" s="19" t="n">
        <x:v>8</x:v>
      </x:c>
      <x:c r="D907" s="19" t="str">
        <x:v>必需</x:v>
      </x:c>
      <x:c r="E907" s="19" t="str">
        <x:v>光纤通道</x:v>
      </x:c>
      <x:c r="F907" s="19" t="str">
        <x:v>SMF</x:v>
      </x:c>
    </x:row>
    <x:row r="908" ht="15" hidden="0" customHeight="1">
      <x:c r="A908" s="19" t="str">
        <x:v>1600-O224-2FR4-8E8O-SIPH</x:v>
      </x:c>
      <x:c r="B908" s="19" t="str">
        <x:v>C034</x:v>
      </x:c>
      <x:c r="C908" s="19" t="n">
        <x:v>2</x:v>
      </x:c>
      <x:c r="D908" s="19" t="str">
        <x:v>必需</x:v>
      </x:c>
      <x:c r="E908" s="19" t="str">
        <x:v>端口/波分组</x:v>
      </x:c>
      <x:c r="F908" s="19" t="str">
        <x:v>2组4λ CWDM</x:v>
      </x:c>
    </x:row>
    <x:row r="909" ht="15" hidden="0" customHeight="1">
      <x:c r="A909" s="19" t="str">
        <x:v>1600-O224-2FR4-8E8O-SIPH</x:v>
      </x:c>
      <x:c r="B909" s="19" t="str">
        <x:v>C035</x:v>
      </x:c>
      <x:c r="C909" s="19" t="n">
        <x:v>2</x:v>
      </x:c>
      <x:c r="D909" s="19" t="str">
        <x:v>实现选项</x:v>
      </x:c>
      <x:c r="E909" s="19" t="str">
        <x:v>微结构</x:v>
      </x:c>
      <x:c r="F909" s="19" t="str">
        <x:v>AWG为MUX/DEMUX的一种实现</x:v>
      </x:c>
    </x:row>
    <x:row r="910" ht="15" hidden="0" customHeight="1">
      <x:c r="A910" s="19" t="str">
        <x:v>1600-O224-2FR4-8E8O-SIPH</x:v>
      </x:c>
      <x:c r="B910" s="19" t="str">
        <x:v>C036</x:v>
      </x:c>
      <x:c r="C910" s="19" t="n">
        <x:v>2</x:v>
      </x:c>
      <x:c r="D910" s="19" t="str">
        <x:v>实现选项</x:v>
      </x:c>
      <x:c r="E910" s="19" t="str">
        <x:v>微结构</x:v>
      </x:c>
      <x:c r="F910" s="19" t="str">
        <x:v>TFF为MUX/DEMUX的另一种实现</x:v>
      </x:c>
    </x:row>
    <x:row r="911" ht="15" hidden="0" customHeight="1">
      <x:c r="A911" s="19" t="str">
        <x:v>1600-O224-2FR4-8E8O-SIPH</x:v>
      </x:c>
      <x:c r="B911" s="19" t="str">
        <x:v>C037</x:v>
      </x:c>
      <x:c r="C911" s="19" t="n">
        <x:v>8</x:v>
      </x:c>
      <x:c r="D911" s="19" t="str">
        <x:v>按实现</x:v>
      </x:c>
      <x:c r="E911" s="19" t="str">
        <x:v>光通道</x:v>
      </x:c>
      <x:c r="F911" s="19" t="str">
        <x:v>自由空间/阵列耦合时使用</x:v>
      </x:c>
    </x:row>
    <x:row r="912" ht="15" hidden="0" customHeight="1">
      <x:c r="A912" s="19" t="str">
        <x:v>1600-O224-2FR4-8E8O-SIPH</x:v>
      </x:c>
      <x:c r="B912" s="19" t="str">
        <x:v>C038</x:v>
      </x:c>
      <x:c r="C912" s="19" t="n">
        <x:v>8</x:v>
      </x:c>
      <x:c r="D912" s="19" t="str">
        <x:v>按实现</x:v>
      </x:c>
      <x:c r="E912" s="19" t="str">
        <x:v>光通道</x:v>
      </x:c>
      <x:c r="F912" s="19" t="str">
        <x:v>FAU可能按阵列封装，不等于单根数量</x:v>
      </x:c>
    </x:row>
    <x:row r="913" ht="15" hidden="0" customHeight="1">
      <x:c r="A913" s="19" t="str">
        <x:v>1600-O224-2FR4-8E8O-SIPH</x:v>
      </x:c>
      <x:c r="B913" s="19" t="str">
        <x:v>C047</x:v>
      </x:c>
      <x:c r="C913" s="19" t="n">
        <x:v>2</x:v>
      </x:c>
      <x:c r="D913" s="19" t="str">
        <x:v>必需</x:v>
      </x:c>
      <x:c r="E913" s="19" t="str">
        <x:v>连接器级</x:v>
      </x:c>
      <x:c r="F913" s="19" t="str">
        <x:v>Dual LC</x:v>
      </x:c>
    </x:row>
    <x:row r="914" ht="15" hidden="0" customHeight="1">
      <x:c r="A914" s="19" t="str">
        <x:v>1600-O224-2FR4-8E8O-SIPH</x:v>
      </x:c>
      <x:c r="B914" s="19" t="str">
        <x:v>C053</x:v>
      </x:c>
      <x:c r="C914" s="19" t="n">
        <x:v>1</x:v>
      </x:c>
      <x:c r="D914" s="19" t="str">
        <x:v>必需</x:v>
      </x:c>
      <x:c r="E914" s="19" t="str">
        <x:v>热管理</x:v>
      </x:c>
      <x:c r="F914" s="19" t="str">
        <x:v>TIM</x:v>
      </x:c>
    </x:row>
    <x:row r="915" ht="15" hidden="0" customHeight="1">
      <x:c r="A915" s="19" t="str">
        <x:v>1600-O224-2FR4-8E8O-SIPH</x:v>
      </x:c>
      <x:c r="B915" s="19" t="str">
        <x:v>C054</x:v>
      </x:c>
      <x:c r="C915" s="19" t="n">
        <x:v>1</x:v>
      </x:c>
      <x:c r="D915" s="19" t="str">
        <x:v>按实现</x:v>
      </x:c>
      <x:c r="E915" s="19" t="str">
        <x:v>封装</x:v>
      </x:c>
      <x:c r="F915" s="19" t="str">
        <x:v>光学胶/底填</x:v>
      </x:c>
    </x:row>
    <x:row r="916" ht="15" hidden="0" customHeight="1">
      <x:c r="A916" s="19" t="str">
        <x:v>1600-O224-DR8-LPO-SIPH</x:v>
      </x:c>
      <x:c r="B916" s="19" t="str">
        <x:v>C001</x:v>
      </x:c>
      <x:c r="C916" s="19" t="n">
        <x:v>1</x:v>
      </x:c>
      <x:c r="D916" s="19" t="str">
        <x:v>必需</x:v>
      </x:c>
      <x:c r="E916" s="19" t="str">
        <x:v>形态级</x:v>
      </x:c>
      <x:c r="F916" s="19" t="str">
        <x:v>OSFP224</x:v>
      </x:c>
    </x:row>
    <x:row r="917" ht="15" hidden="0" customHeight="1">
      <x:c r="A917" s="19" t="str">
        <x:v>1600-O224-DR8-LPO-SIPH</x:v>
      </x:c>
      <x:c r="B917" s="19" t="str">
        <x:v>C002</x:v>
      </x:c>
      <x:c r="C917" s="19" t="n">
        <x:v>1</x:v>
      </x:c>
      <x:c r="D917" s="19" t="str">
        <x:v>必需</x:v>
      </x:c>
      <x:c r="E917" s="19" t="str">
        <x:v>形态级</x:v>
      </x:c>
      <x:c r="F917" s="19" t="str">
        <x:v>散热能力需按功耗校核</x:v>
      </x:c>
    </x:row>
    <x:row r="918" ht="15" hidden="0" customHeight="1">
      <x:c r="A918" s="19" t="str">
        <x:v>1600-O224-DR8-LPO-SIPH</x:v>
      </x:c>
      <x:c r="B918" s="19" t="str">
        <x:v>C003</x:v>
      </x:c>
      <x:c r="C918" s="19" t="n">
        <x:v>1</x:v>
      </x:c>
      <x:c r="D918" s="19" t="str">
        <x:v>必需</x:v>
      </x:c>
      <x:c r="E918" s="19" t="str">
        <x:v>形态级</x:v>
      </x:c>
      <x:c r="F918" s="19" t="str">
        <x:v>CPO无传统前面板模块拉环</x:v>
      </x:c>
    </x:row>
    <x:row r="919" ht="15" hidden="0" customHeight="1">
      <x:c r="A919" s="19" t="str">
        <x:v>1600-O224-DR8-LPO-SIPH</x:v>
      </x:c>
      <x:c r="B919" s="19" t="str">
        <x:v>C004</x:v>
      </x:c>
      <x:c r="C919" s="19" t="n">
        <x:v>1</x:v>
      </x:c>
      <x:c r="D919" s="19" t="str">
        <x:v>必需</x:v>
      </x:c>
      <x:c r="E919" s="19" t="str">
        <x:v>代表性</x:v>
      </x:c>
      <x:c r="F919" s="19" t="str">
        <x:v>EMI屏蔽结构依外壳设计</x:v>
      </x:c>
    </x:row>
    <x:row r="920" ht="15" hidden="0" customHeight="1">
      <x:c r="A920" s="19" t="str">
        <x:v>1600-O224-DR8-LPO-SIPH</x:v>
      </x:c>
      <x:c r="B920" s="19" t="str">
        <x:v>C005</x:v>
      </x:c>
      <x:c r="C920" s="19" t="n">
        <x:v>1</x:v>
      </x:c>
      <x:c r="D920" s="19" t="str">
        <x:v>必需</x:v>
      </x:c>
      <x:c r="E920" s="19" t="str">
        <x:v>代表性</x:v>
      </x:c>
      <x:c r="F920" s="19" t="str">
        <x:v>CPO可采用封装基板+系统PCB</x:v>
      </x:c>
    </x:row>
    <x:row r="921" ht="15" hidden="0" customHeight="1">
      <x:c r="A921" s="19" t="str">
        <x:v>1600-O224-DR8-LPO-SIPH</x:v>
      </x:c>
      <x:c r="B921" s="19" t="str">
        <x:v>C056</x:v>
      </x:c>
      <x:c r="C921" s="19" t="n">
        <x:v>1</x:v>
      </x:c>
      <x:c r="D921" s="19" t="str">
        <x:v>必需</x:v>
      </x:c>
      <x:c r="E921" s="19" t="str">
        <x:v>形态级</x:v>
      </x:c>
      <x:c r="F921" s="19" t="str">
        <x:v>可插拔模块主机侧金手指/电连接器</x:v>
      </x:c>
    </x:row>
    <x:row r="922" ht="15" hidden="0" customHeight="1">
      <x:c r="A922" s="19" t="str">
        <x:v>1600-O224-DR8-LPO-SIPH</x:v>
      </x:c>
      <x:c r="B922" s="19" t="str">
        <x:v>C057</x:v>
      </x:c>
      <x:c r="C922" s="19" t="n">
        <x:v>1</x:v>
      </x:c>
      <x:c r="D922" s="19" t="str">
        <x:v>系统配套</x:v>
      </x:c>
      <x:c r="E922" s="19" t="str">
        <x:v>系统级</x:v>
      </x:c>
      <x:c r="F922" s="19" t="str">
        <x:v>cage不属于模块内采购BOM</x:v>
      </x:c>
    </x:row>
    <x:row r="923" ht="15" hidden="0" customHeight="1">
      <x:c r="A923" s="19" t="str">
        <x:v>1600-O224-DR8-LPO-SIPH</x:v>
      </x:c>
      <x:c r="B923" s="19" t="str">
        <x:v>C007</x:v>
      </x:c>
      <x:c r="C923" s="19" t="n">
        <x:v>1</x:v>
      </x:c>
      <x:c r="D923" s="19" t="str">
        <x:v>必需</x:v>
      </x:c>
      <x:c r="E923" s="19" t="str">
        <x:v>代表性</x:v>
      </x:c>
      <x:c r="F923" s="19" t="str">
        <x:v>光引擎承载基板/Interposer</x:v>
      </x:c>
    </x:row>
    <x:row r="924" ht="15" hidden="0" customHeight="1">
      <x:c r="A924" s="19" t="str">
        <x:v>1600-O224-DR8-LPO-SIPH</x:v>
      </x:c>
      <x:c r="B924" s="19" t="str">
        <x:v>C008</x:v>
      </x:c>
      <x:c r="C924" s="19" t="n">
        <x:v>1</x:v>
      </x:c>
      <x:c r="D924" s="19" t="str">
        <x:v>必需</x:v>
      </x:c>
      <x:c r="E924" s="19" t="str">
        <x:v>代表性</x:v>
      </x:c>
      <x:c r="F924" s="19" t="str">
        <x:v>数量按功耗域，不等于精确颗数</x:v>
      </x:c>
    </x:row>
    <x:row r="925" ht="15" hidden="0" customHeight="1">
      <x:c r="A925" s="19" t="str">
        <x:v>1600-O224-DR8-LPO-SIPH</x:v>
      </x:c>
      <x:c r="B925" s="19" t="str">
        <x:v>C009</x:v>
      </x:c>
      <x:c r="C925" s="19" t="n">
        <x:v>1</x:v>
      </x:c>
      <x:c r="D925" s="19" t="str">
        <x:v>必需</x:v>
      </x:c>
      <x:c r="E925" s="19" t="str">
        <x:v>管理接口</x:v>
      </x:c>
      <x:c r="F925" s="19" t="str">
        <x:v>可插拔模块使用CMIS管理</x:v>
      </x:c>
    </x:row>
    <x:row r="926" ht="15" hidden="0" customHeight="1">
      <x:c r="A926" s="19" t="str">
        <x:v>1600-O224-DR8-LPO-SIPH</x:v>
      </x:c>
      <x:c r="B926" s="19" t="str">
        <x:v>C010</x:v>
      </x:c>
      <x:c r="C926" s="19" t="n">
        <x:v>1</x:v>
      </x:c>
      <x:c r="D926" s="19" t="str">
        <x:v>按实现</x:v>
      </x:c>
      <x:c r="E926" s="19" t="str">
        <x:v>代表性</x:v>
      </x:c>
      <x:c r="F926" s="19" t="str">
        <x:v>模块控制与校准</x:v>
      </x:c>
    </x:row>
    <x:row r="927" ht="15" hidden="0" customHeight="1">
      <x:c r="A927" s="19" t="str">
        <x:v>1600-O224-DR8-LPO-SIPH</x:v>
      </x:c>
      <x:c r="B927" s="19" t="str">
        <x:v>C058</x:v>
      </x:c>
      <x:c r="C927" s="19" t="n">
        <x:v>1</x:v>
      </x:c>
      <x:c r="D927" s="19" t="str">
        <x:v>按实现</x:v>
      </x:c>
      <x:c r="E927" s="19" t="str">
        <x:v>时钟架构</x:v>
      </x:c>
      <x:c r="F927" s="19" t="str">
        <x:v>可由主机提供REFCLK或使用模块内时钟器件</x:v>
      </x:c>
    </x:row>
    <x:row r="928" ht="15" hidden="0" customHeight="1">
      <x:c r="A928" s="19" t="str">
        <x:v>1600-O224-DR8-LPO-SIPH</x:v>
      </x:c>
      <x:c r="B928" s="19" t="str">
        <x:v>C059</x:v>
      </x:c>
      <x:c r="C928" s="19" t="n">
        <x:v>1</x:v>
      </x:c>
      <x:c r="D928" s="19" t="str">
        <x:v>必需/可集成</x:v>
      </x:c>
      <x:c r="E928" s="19" t="str">
        <x:v>监控功能</x:v>
      </x:c>
      <x:c r="F928" s="19" t="str">
        <x:v>CMIS/控制系统温度监测</x:v>
      </x:c>
    </x:row>
    <x:row r="929" ht="15" hidden="0" customHeight="1">
      <x:c r="A929" s="19" t="str">
        <x:v>1600-O224-DR8-LPO-SIPH</x:v>
      </x:c>
      <x:c r="B929" s="19" t="str">
        <x:v>C060</x:v>
      </x:c>
      <x:c r="C929" s="19" t="n">
        <x:v>1</x:v>
      </x:c>
      <x:c r="D929" s="19" t="str">
        <x:v>必需</x:v>
      </x:c>
      <x:c r="E929" s="19" t="str">
        <x:v>器件组</x:v>
      </x:c>
      <x:c r="F929" s="19" t="str">
        <x:v>R/C/L数量不按lane数表示</x:v>
      </x:c>
    </x:row>
    <x:row r="930" ht="15" hidden="0" customHeight="1">
      <x:c r="A930" s="19" t="str">
        <x:v>1600-O224-DR8-LPO-SIPH</x:v>
      </x:c>
      <x:c r="B930" s="19" t="str">
        <x:v>C062</x:v>
      </x:c>
      <x:c r="C930" s="19" t="n">
        <x:v>1</x:v>
      </x:c>
      <x:c r="D930" s="19" t="str">
        <x:v>按封装</x:v>
      </x:c>
      <x:c r="E930" s="19" t="str">
        <x:v>互连工艺</x:v>
      </x:c>
      <x:c r="F930" s="19" t="str">
        <x:v>flip-chip平台使用</x:v>
      </x:c>
    </x:row>
    <x:row r="931" ht="15" hidden="0" customHeight="1">
      <x:c r="A931" s="19" t="str">
        <x:v>1600-O224-DR8-LPO-SIPH</x:v>
      </x:c>
      <x:c r="B931" s="19" t="str">
        <x:v>C063</x:v>
      </x:c>
      <x:c r="C931" s="19" t="n">
        <x:v>1</x:v>
      </x:c>
      <x:c r="D931" s="19" t="str">
        <x:v>按封装</x:v>
      </x:c>
      <x:c r="E931" s="19" t="str">
        <x:v>互连工艺</x:v>
      </x:c>
      <x:c r="F931" s="19" t="str">
        <x:v>wire/ribbon bond平台使用</x:v>
      </x:c>
    </x:row>
    <x:row r="932" ht="15" hidden="0" customHeight="1">
      <x:c r="A932" s="19" t="str">
        <x:v>1600-O224-DR8-LPO-SIPH</x:v>
      </x:c>
      <x:c r="B932" s="19" t="str">
        <x:v>C014</x:v>
      </x:c>
      <x:c r="C932" s="19" t="n">
        <x:v>8</x:v>
      </x:c>
      <x:c r="D932" s="19" t="str">
        <x:v>必需</x:v>
      </x:c>
      <x:c r="E932" s="19" t="str">
        <x:v>功能通道数</x:v>
      </x:c>
      <x:c r="F932" s="19" t="str">
        <x:v>可能为阵列/多通道die，非精确封装颗数</x:v>
      </x:c>
    </x:row>
    <x:row r="933" ht="15" hidden="0" customHeight="1">
      <x:c r="A933" s="19" t="str">
        <x:v>1600-O224-DR8-LPO-SIPH</x:v>
      </x:c>
      <x:c r="B933" s="19" t="str">
        <x:v>C015</x:v>
      </x:c>
      <x:c r="C933" s="19" t="n">
        <x:v>8</x:v>
      </x:c>
      <x:c r="D933" s="19" t="str">
        <x:v>必需</x:v>
      </x:c>
      <x:c r="E933" s="19" t="str">
        <x:v>功能通道数</x:v>
      </x:c>
      <x:c r="F933" s="19" t="str">
        <x:v>可能为阵列/多通道die，非精确封装颗数</x:v>
      </x:c>
    </x:row>
    <x:row r="934" ht="15" hidden="0" customHeight="1">
      <x:c r="A934" s="19" t="str">
        <x:v>1600-O224-DR8-LPO-SIPH</x:v>
      </x:c>
      <x:c r="B934" s="19" t="str">
        <x:v>C025</x:v>
      </x:c>
      <x:c r="C934" s="19" t="n">
        <x:v>1</x:v>
      </x:c>
      <x:c r="D934" s="19" t="str">
        <x:v>必需</x:v>
      </x:c>
      <x:c r="E934" s="19" t="str">
        <x:v>PIC级</x:v>
      </x:c>
      <x:c r="F934" s="19" t="str">
        <x:v>具体是否MZM或MRR需供应商证据</x:v>
      </x:c>
    </x:row>
    <x:row r="935" ht="15" hidden="0" customHeight="1">
      <x:c r="A935" s="19" t="str">
        <x:v>1600-O224-DR8-LPO-SIPH</x:v>
      </x:c>
      <x:c r="B935" s="19" t="str">
        <x:v>C026</x:v>
      </x:c>
      <x:c r="C935" s="19" t="n">
        <x:v>8</x:v>
      </x:c>
      <x:c r="D935" s="19" t="str">
        <x:v>代表性</x:v>
      </x:c>
      <x:c r="E935" s="19" t="str">
        <x:v>微结构</x:v>
      </x:c>
      <x:c r="F935" s="19" t="str">
        <x:v>默认以MZM表示，若厂商披露MRR应改用C027</x:v>
      </x:c>
    </x:row>
    <x:row r="936" ht="15" hidden="0" customHeight="1">
      <x:c r="A936" s="19" t="str">
        <x:v>1600-O224-DR8-LPO-SIPH</x:v>
      </x:c>
      <x:c r="B936" s="19" t="str">
        <x:v>C028</x:v>
      </x:c>
      <x:c r="C936" s="19" t="n">
        <x:v>8</x:v>
      </x:c>
      <x:c r="D936" s="19" t="str">
        <x:v>内嵌</x:v>
      </x:c>
      <x:c r="E936" s="19" t="str">
        <x:v>微结构</x:v>
      </x:c>
      <x:c r="F936" s="19" t="str">
        <x:v>相移器</x:v>
      </x:c>
    </x:row>
    <x:row r="937" ht="15" hidden="0" customHeight="1">
      <x:c r="A937" s="19" t="str">
        <x:v>1600-O224-DR8-LPO-SIPH</x:v>
      </x:c>
      <x:c r="B937" s="19" t="str">
        <x:v>C029</x:v>
      </x:c>
      <x:c r="C937" s="19" t="n">
        <x:v>8</x:v>
      </x:c>
      <x:c r="D937" s="19" t="str">
        <x:v>内嵌</x:v>
      </x:c>
      <x:c r="E937" s="19" t="str">
        <x:v>微结构</x:v>
      </x:c>
      <x:c r="F937" s="19" t="str">
        <x:v>片上光路</x:v>
      </x:c>
    </x:row>
    <x:row r="938" ht="15" hidden="0" customHeight="1">
      <x:c r="A938" s="19" t="str">
        <x:v>1600-O224-DR8-LPO-SIPH</x:v>
      </x:c>
      <x:c r="B938" s="19" t="str">
        <x:v>C064</x:v>
      </x:c>
      <x:c r="C938" s="19" t="n">
        <x:v>1</x:v>
      </x:c>
      <x:c r="D938" s="19" t="str">
        <x:v>按实现</x:v>
      </x:c>
      <x:c r="E938" s="19" t="str">
        <x:v>微结构</x:v>
      </x:c>
      <x:c r="F938" s="19" t="str">
        <x:v>偏振管理</x:v>
      </x:c>
    </x:row>
    <x:row r="939" ht="15" hidden="0" customHeight="1">
      <x:c r="A939" s="19" t="str">
        <x:v>1600-O224-DR8-LPO-SIPH</x:v>
      </x:c>
      <x:c r="B939" s="19" t="str">
        <x:v>C065</x:v>
      </x:c>
      <x:c r="C939" s="19" t="n">
        <x:v>1</x:v>
      </x:c>
      <x:c r="D939" s="19" t="str">
        <x:v>按实现</x:v>
      </x:c>
      <x:c r="E939" s="19" t="str">
        <x:v>微结构</x:v>
      </x:c>
      <x:c r="F939" s="19" t="str">
        <x:v>抽光监控</x:v>
      </x:c>
    </x:row>
    <x:row r="940" ht="15" hidden="0" customHeight="1">
      <x:c r="A940" s="19" t="str">
        <x:v>1600-O224-DR8-LPO-SIPH</x:v>
      </x:c>
      <x:c r="B940" s="19" t="str">
        <x:v>C066</x:v>
      </x:c>
      <x:c r="C940" s="19" t="n">
        <x:v>1</x:v>
      </x:c>
      <x:c r="D940" s="19" t="str">
        <x:v>按实现</x:v>
      </x:c>
      <x:c r="E940" s="19" t="str">
        <x:v>微结构</x:v>
      </x:c>
      <x:c r="F940" s="19" t="str">
        <x:v>微环/AWG/滤波结构热调谐</x:v>
      </x:c>
    </x:row>
    <x:row r="941" ht="15" hidden="0" customHeight="1">
      <x:c r="A941" s="19" t="str">
        <x:v>1600-O224-DR8-LPO-SIPH</x:v>
      </x:c>
      <x:c r="B941" s="19" t="str">
        <x:v>C030</x:v>
      </x:c>
      <x:c r="C941" s="19" t="n">
        <x:v>8</x:v>
      </x:c>
      <x:c r="D941" s="19" t="str">
        <x:v>必需</x:v>
      </x:c>
      <x:c r="E941" s="19" t="str">
        <x:v>光通道</x:v>
      </x:c>
      <x:c r="F941" s="19" t="str">
        <x:v>Ge/Si PIN</x:v>
      </x:c>
    </x:row>
    <x:row r="942" ht="15" hidden="0" customHeight="1">
      <x:c r="A942" s="19" t="str">
        <x:v>1600-O224-DR8-LPO-SIPH</x:v>
      </x:c>
      <x:c r="B942" s="19" t="str">
        <x:v>C039</x:v>
      </x:c>
      <x:c r="C942" s="19" t="n">
        <x:v>8</x:v>
      </x:c>
      <x:c r="D942" s="19" t="str">
        <x:v>二选一</x:v>
      </x:c>
      <x:c r="E942" s="19" t="str">
        <x:v>耦合方式</x:v>
      </x:c>
      <x:c r="F942" s="19" t="str">
        <x:v>与边缘耦合器二选一或混用</x:v>
      </x:c>
    </x:row>
    <x:row r="943" ht="15" hidden="0" customHeight="1">
      <x:c r="A943" s="19" t="str">
        <x:v>1600-O224-DR8-LPO-SIPH</x:v>
      </x:c>
      <x:c r="B943" s="19" t="str">
        <x:v>C040</x:v>
      </x:c>
      <x:c r="C943" s="19" t="n">
        <x:v>8</x:v>
      </x:c>
      <x:c r="D943" s="19" t="str">
        <x:v>二选一</x:v>
      </x:c>
      <x:c r="E943" s="19" t="str">
        <x:v>耦合方式</x:v>
      </x:c>
      <x:c r="F943" s="19" t="str">
        <x:v>与光栅耦合器二选一或混用</x:v>
      </x:c>
    </x:row>
    <x:row r="944" ht="15" hidden="0" customHeight="1">
      <x:c r="A944" s="19" t="str">
        <x:v>1600-O224-DR8-LPO-SIPH</x:v>
      </x:c>
      <x:c r="B944" s="19" t="str">
        <x:v>C023</x:v>
      </x:c>
      <x:c r="C944" s="19" t="n">
        <x:v>1</x:v>
      </x:c>
      <x:c r="D944" s="19" t="str">
        <x:v>必需</x:v>
      </x:c>
      <x:c r="E944" s="19" t="str">
        <x:v>光源级</x:v>
      </x:c>
      <x:c r="F944" s="19" t="str">
        <x:v>可为多波长/多激光阵列</x:v>
      </x:c>
    </x:row>
    <x:row r="945" ht="15" hidden="0" customHeight="1">
      <x:c r="A945" s="19" t="str">
        <x:v>1600-O224-DR8-LPO-SIPH</x:v>
      </x:c>
      <x:c r="B945" s="19" t="str">
        <x:v>C022</x:v>
      </x:c>
      <x:c r="C945" s="19" t="n">
        <x:v>1</x:v>
      </x:c>
      <x:c r="D945" s="19" t="str">
        <x:v>内嵌</x:v>
      </x:c>
      <x:c r="E945" s="19" t="str">
        <x:v>微结构</x:v>
      </x:c>
      <x:c r="F945" s="19" t="str">
        <x:v>CW DFB内部光栅</x:v>
      </x:c>
    </x:row>
    <x:row r="946" ht="15" hidden="0" customHeight="1">
      <x:c r="A946" s="19" t="str">
        <x:v>1600-O224-DR8-LPO-SIPH</x:v>
      </x:c>
      <x:c r="B946" s="19" t="str">
        <x:v>C049</x:v>
      </x:c>
      <x:c r="C946" s="19" t="n">
        <x:v>8</x:v>
      </x:c>
      <x:c r="D946" s="19" t="str">
        <x:v>必需</x:v>
      </x:c>
      <x:c r="E946" s="19" t="str">
        <x:v>光纤通道</x:v>
      </x:c>
      <x:c r="F946" s="19" t="str">
        <x:v>PSM SMF</x:v>
      </x:c>
    </x:row>
    <x:row r="947" ht="15" hidden="0" customHeight="1">
      <x:c r="A947" s="19"/>
      <x:c r="B947" s="19"/>
      <x:c r="C947" s="19"/>
      <x:c r="D947" s="19"/>
      <x:c r="E947" s="19"/>
      <x:c r="F947" s="19"/>
    </x:row>
    <x:row r="948" ht="15" hidden="0" customHeight="1">
      <x:c r="A948" s="19"/>
      <x:c r="B948" s="19"/>
      <x:c r="C948" s="19"/>
      <x:c r="D948" s="19"/>
      <x:c r="E948" s="19"/>
      <x:c r="F948" s="19"/>
    </x:row>
    <x:row r="949" ht="15" hidden="0" customHeight="1">
      <x:c r="A949" s="19"/>
      <x:c r="B949" s="19"/>
      <x:c r="C949" s="19"/>
      <x:c r="D949" s="19"/>
      <x:c r="E949" s="19"/>
      <x:c r="F949" s="19"/>
    </x:row>
    <x:row r="950" ht="15" hidden="0" customHeight="1">
      <x:c r="A950" s="19" t="str">
        <x:v>1600-O224-DR8-LPO-SIPH</x:v>
      </x:c>
      <x:c r="B950" s="19" t="str">
        <x:v>C037</x:v>
      </x:c>
      <x:c r="C950" s="19" t="n">
        <x:v>8</x:v>
      </x:c>
      <x:c r="D950" s="19" t="str">
        <x:v>按实现</x:v>
      </x:c>
      <x:c r="E950" s="19" t="str">
        <x:v>光通道</x:v>
      </x:c>
      <x:c r="F950" s="19" t="str">
        <x:v>自由空间/阵列耦合时使用</x:v>
      </x:c>
    </x:row>
    <x:row r="951" ht="15" hidden="0" customHeight="1">
      <x:c r="A951" s="19" t="str">
        <x:v>1600-O224-DR8-LPO-SIPH</x:v>
      </x:c>
      <x:c r="B951" s="19" t="str">
        <x:v>C038</x:v>
      </x:c>
      <x:c r="C951" s="19" t="n">
        <x:v>8</x:v>
      </x:c>
      <x:c r="D951" s="19" t="str">
        <x:v>按实现</x:v>
      </x:c>
      <x:c r="E951" s="19" t="str">
        <x:v>光通道</x:v>
      </x:c>
      <x:c r="F951" s="19" t="str">
        <x:v>FAU可能按阵列封装，不等于单根数量</x:v>
      </x:c>
    </x:row>
    <x:row r="952" ht="15" hidden="0" customHeight="1">
      <x:c r="A952" s="19" t="str">
        <x:v>1600-O224-DR8-LPO-SIPH</x:v>
      </x:c>
      <x:c r="B952" s="19" t="str">
        <x:v>C044</x:v>
      </x:c>
      <x:c r="C952" s="19" t="n">
        <x:v>1</x:v>
      </x:c>
      <x:c r="D952" s="19" t="str">
        <x:v>必需</x:v>
      </x:c>
      <x:c r="E952" s="19" t="str">
        <x:v>连接器级</x:v>
      </x:c>
      <x:c r="F952" s="19" t="str">
        <x:v>MPO16</x:v>
      </x:c>
    </x:row>
    <x:row r="953" ht="15" hidden="0" customHeight="1">
      <x:c r="A953" s="19" t="str">
        <x:v>1600-O224-DR8-LPO-SIPH</x:v>
      </x:c>
      <x:c r="B953" s="19" t="str">
        <x:v>C045</x:v>
      </x:c>
      <x:c r="C953" s="19" t="n">
        <x:v>1</x:v>
      </x:c>
      <x:c r="D953" s="19" t="str">
        <x:v>内嵌</x:v>
      </x:c>
      <x:c r="E953" s="19" t="str">
        <x:v>连接器级</x:v>
      </x:c>
      <x:c r="F953" s="19" t="str">
        <x:v>MT插芯</x:v>
      </x:c>
    </x:row>
    <x:row r="954" ht="15" hidden="0" customHeight="1">
      <x:c r="A954" s="19" t="str">
        <x:v>1600-O224-DR8-LPO-SIPH</x:v>
      </x:c>
      <x:c r="B954" s="19" t="str">
        <x:v>C046</x:v>
      </x:c>
      <x:c r="C954" s="19" t="n">
        <x:v>1</x:v>
      </x:c>
      <x:c r="D954" s="19" t="str">
        <x:v>内嵌</x:v>
      </x:c>
      <x:c r="E954" s="19" t="str">
        <x:v>连接器级</x:v>
      </x:c>
      <x:c r="F954" s="19" t="str">
        <x:v>导针与弹簧</x:v>
      </x:c>
    </x:row>
    <x:row r="955" ht="15" hidden="0" customHeight="1">
      <x:c r="A955" s="19" t="str">
        <x:v>1600-O224-DR8-LPO-SIPH</x:v>
      </x:c>
      <x:c r="B955" s="19" t="str">
        <x:v>C053</x:v>
      </x:c>
      <x:c r="C955" s="19" t="n">
        <x:v>1</x:v>
      </x:c>
      <x:c r="D955" s="19" t="str">
        <x:v>必需</x:v>
      </x:c>
      <x:c r="E955" s="19" t="str">
        <x:v>热管理</x:v>
      </x:c>
      <x:c r="F955" s="19" t="str">
        <x:v>TIM</x:v>
      </x:c>
    </x:row>
    <x:row r="956" ht="15" hidden="0" customHeight="1">
      <x:c r="A956" s="19" t="str">
        <x:v>1600-O224-DR8-LPO-SIPH</x:v>
      </x:c>
      <x:c r="B956" s="19" t="str">
        <x:v>C054</x:v>
      </x:c>
      <x:c r="C956" s="19" t="n">
        <x:v>1</x:v>
      </x:c>
      <x:c r="D956" s="19" t="str">
        <x:v>按实现</x:v>
      </x:c>
      <x:c r="E956" s="19" t="str">
        <x:v>封装</x:v>
      </x:c>
      <x:c r="F956" s="19" t="str">
        <x:v>光学胶/底填</x:v>
      </x:c>
    </x:row>
    <x:row r="957" ht="15" hidden="0" customHeight="1">
      <x:c r="A957" s="19" t="str">
        <x:v>1600-O224-2DR4-LPO-SIPH</x:v>
      </x:c>
      <x:c r="B957" s="19" t="str">
        <x:v>C001</x:v>
      </x:c>
      <x:c r="C957" s="19" t="n">
        <x:v>1</x:v>
      </x:c>
      <x:c r="D957" s="19" t="str">
        <x:v>必需</x:v>
      </x:c>
      <x:c r="E957" s="19" t="str">
        <x:v>形态级</x:v>
      </x:c>
      <x:c r="F957" s="19" t="str">
        <x:v>OSFP224</x:v>
      </x:c>
    </x:row>
    <x:row r="958" ht="15" hidden="0" customHeight="1">
      <x:c r="A958" s="19" t="str">
        <x:v>1600-O224-2DR4-LPO-SIPH</x:v>
      </x:c>
      <x:c r="B958" s="19" t="str">
        <x:v>C002</x:v>
      </x:c>
      <x:c r="C958" s="19" t="n">
        <x:v>1</x:v>
      </x:c>
      <x:c r="D958" s="19" t="str">
        <x:v>必需</x:v>
      </x:c>
      <x:c r="E958" s="19" t="str">
        <x:v>形态级</x:v>
      </x:c>
      <x:c r="F958" s="19" t="str">
        <x:v>散热能力需按功耗校核</x:v>
      </x:c>
    </x:row>
    <x:row r="959" ht="15" hidden="0" customHeight="1">
      <x:c r="A959" s="19" t="str">
        <x:v>1600-O224-2DR4-LPO-SIPH</x:v>
      </x:c>
      <x:c r="B959" s="19" t="str">
        <x:v>C003</x:v>
      </x:c>
      <x:c r="C959" s="19" t="n">
        <x:v>1</x:v>
      </x:c>
      <x:c r="D959" s="19" t="str">
        <x:v>必需</x:v>
      </x:c>
      <x:c r="E959" s="19" t="str">
        <x:v>形态级</x:v>
      </x:c>
      <x:c r="F959" s="19" t="str">
        <x:v>CPO无传统前面板模块拉环</x:v>
      </x:c>
    </x:row>
    <x:row r="960" ht="15" hidden="0" customHeight="1">
      <x:c r="A960" s="19" t="str">
        <x:v>1600-O224-2DR4-LPO-SIPH</x:v>
      </x:c>
      <x:c r="B960" s="19" t="str">
        <x:v>C004</x:v>
      </x:c>
      <x:c r="C960" s="19" t="n">
        <x:v>1</x:v>
      </x:c>
      <x:c r="D960" s="19" t="str">
        <x:v>必需</x:v>
      </x:c>
      <x:c r="E960" s="19" t="str">
        <x:v>代表性</x:v>
      </x:c>
      <x:c r="F960" s="19" t="str">
        <x:v>EMI屏蔽结构依外壳设计</x:v>
      </x:c>
    </x:row>
    <x:row r="961" ht="15" hidden="0" customHeight="1">
      <x:c r="A961" s="19" t="str">
        <x:v>1600-O224-2DR4-LPO-SIPH</x:v>
      </x:c>
      <x:c r="B961" s="19" t="str">
        <x:v>C005</x:v>
      </x:c>
      <x:c r="C961" s="19" t="n">
        <x:v>1</x:v>
      </x:c>
      <x:c r="D961" s="19" t="str">
        <x:v>必需</x:v>
      </x:c>
      <x:c r="E961" s="19" t="str">
        <x:v>代表性</x:v>
      </x:c>
      <x:c r="F961" s="19" t="str">
        <x:v>CPO可采用封装基板+系统PCB</x:v>
      </x:c>
    </x:row>
    <x:row r="962" ht="15" hidden="0" customHeight="1">
      <x:c r="A962" s="19" t="str">
        <x:v>1600-O224-2DR4-LPO-SIPH</x:v>
      </x:c>
      <x:c r="B962" s="19" t="str">
        <x:v>C056</x:v>
      </x:c>
      <x:c r="C962" s="19" t="n">
        <x:v>1</x:v>
      </x:c>
      <x:c r="D962" s="19" t="str">
        <x:v>必需</x:v>
      </x:c>
      <x:c r="E962" s="19" t="str">
        <x:v>形态级</x:v>
      </x:c>
      <x:c r="F962" s="19" t="str">
        <x:v>可插拔模块主机侧金手指/电连接器</x:v>
      </x:c>
    </x:row>
    <x:row r="963" ht="15" hidden="0" customHeight="1">
      <x:c r="A963" s="19" t="str">
        <x:v>1600-O224-2DR4-LPO-SIPH</x:v>
      </x:c>
      <x:c r="B963" s="19" t="str">
        <x:v>C057</x:v>
      </x:c>
      <x:c r="C963" s="19" t="n">
        <x:v>1</x:v>
      </x:c>
      <x:c r="D963" s="19" t="str">
        <x:v>系统配套</x:v>
      </x:c>
      <x:c r="E963" s="19" t="str">
        <x:v>系统级</x:v>
      </x:c>
      <x:c r="F963" s="19" t="str">
        <x:v>cage不属于模块内采购BOM</x:v>
      </x:c>
    </x:row>
    <x:row r="964" ht="15" hidden="0" customHeight="1">
      <x:c r="A964" s="19" t="str">
        <x:v>1600-O224-2DR4-LPO-SIPH</x:v>
      </x:c>
      <x:c r="B964" s="19" t="str">
        <x:v>C007</x:v>
      </x:c>
      <x:c r="C964" s="19" t="n">
        <x:v>1</x:v>
      </x:c>
      <x:c r="D964" s="19" t="str">
        <x:v>必需</x:v>
      </x:c>
      <x:c r="E964" s="19" t="str">
        <x:v>代表性</x:v>
      </x:c>
      <x:c r="F964" s="19" t="str">
        <x:v>光引擎承载基板/Interposer</x:v>
      </x:c>
    </x:row>
    <x:row r="965" ht="15" hidden="0" customHeight="1">
      <x:c r="A965" s="19" t="str">
        <x:v>1600-O224-2DR4-LPO-SIPH</x:v>
      </x:c>
      <x:c r="B965" s="19" t="str">
        <x:v>C008</x:v>
      </x:c>
      <x:c r="C965" s="19" t="n">
        <x:v>1</x:v>
      </x:c>
      <x:c r="D965" s="19" t="str">
        <x:v>必需</x:v>
      </x:c>
      <x:c r="E965" s="19" t="str">
        <x:v>代表性</x:v>
      </x:c>
      <x:c r="F965" s="19" t="str">
        <x:v>数量按功耗域，不等于精确颗数</x:v>
      </x:c>
    </x:row>
    <x:row r="966" ht="15" hidden="0" customHeight="1">
      <x:c r="A966" s="19" t="str">
        <x:v>1600-O224-2DR4-LPO-SIPH</x:v>
      </x:c>
      <x:c r="B966" s="19" t="str">
        <x:v>C009</x:v>
      </x:c>
      <x:c r="C966" s="19" t="n">
        <x:v>1</x:v>
      </x:c>
      <x:c r="D966" s="19" t="str">
        <x:v>必需</x:v>
      </x:c>
      <x:c r="E966" s="19" t="str">
        <x:v>管理接口</x:v>
      </x:c>
      <x:c r="F966" s="19" t="str">
        <x:v>可插拔模块使用CMIS管理</x:v>
      </x:c>
    </x:row>
    <x:row r="967" ht="15" hidden="0" customHeight="1">
      <x:c r="A967" s="19" t="str">
        <x:v>1600-O224-2DR4-LPO-SIPH</x:v>
      </x:c>
      <x:c r="B967" s="19" t="str">
        <x:v>C010</x:v>
      </x:c>
      <x:c r="C967" s="19" t="n">
        <x:v>1</x:v>
      </x:c>
      <x:c r="D967" s="19" t="str">
        <x:v>按实现</x:v>
      </x:c>
      <x:c r="E967" s="19" t="str">
        <x:v>代表性</x:v>
      </x:c>
      <x:c r="F967" s="19" t="str">
        <x:v>模块控制与校准</x:v>
      </x:c>
    </x:row>
    <x:row r="968" ht="15" hidden="0" customHeight="1">
      <x:c r="A968" s="19" t="str">
        <x:v>1600-O224-2DR4-LPO-SIPH</x:v>
      </x:c>
      <x:c r="B968" s="19" t="str">
        <x:v>C058</x:v>
      </x:c>
      <x:c r="C968" s="19" t="n">
        <x:v>1</x:v>
      </x:c>
      <x:c r="D968" s="19" t="str">
        <x:v>按实现</x:v>
      </x:c>
      <x:c r="E968" s="19" t="str">
        <x:v>时钟架构</x:v>
      </x:c>
      <x:c r="F968" s="19" t="str">
        <x:v>可由主机提供REFCLK或使用模块内时钟器件</x:v>
      </x:c>
    </x:row>
    <x:row r="969" ht="15" hidden="0" customHeight="1">
      <x:c r="A969" s="19" t="str">
        <x:v>1600-O224-2DR4-LPO-SIPH</x:v>
      </x:c>
      <x:c r="B969" s="19" t="str">
        <x:v>C059</x:v>
      </x:c>
      <x:c r="C969" s="19" t="n">
        <x:v>1</x:v>
      </x:c>
      <x:c r="D969" s="19" t="str">
        <x:v>必需/可集成</x:v>
      </x:c>
      <x:c r="E969" s="19" t="str">
        <x:v>监控功能</x:v>
      </x:c>
      <x:c r="F969" s="19" t="str">
        <x:v>CMIS/控制系统温度监测</x:v>
      </x:c>
    </x:row>
    <x:row r="970" ht="15" hidden="0" customHeight="1">
      <x:c r="A970" s="19" t="str">
        <x:v>1600-O224-2DR4-LPO-SIPH</x:v>
      </x:c>
      <x:c r="B970" s="19" t="str">
        <x:v>C060</x:v>
      </x:c>
      <x:c r="C970" s="19" t="n">
        <x:v>1</x:v>
      </x:c>
      <x:c r="D970" s="19" t="str">
        <x:v>必需</x:v>
      </x:c>
      <x:c r="E970" s="19" t="str">
        <x:v>器件组</x:v>
      </x:c>
      <x:c r="F970" s="19" t="str">
        <x:v>R/C/L数量不按lane数表示</x:v>
      </x:c>
    </x:row>
    <x:row r="971" ht="15" hidden="0" customHeight="1">
      <x:c r="A971" s="19" t="str">
        <x:v>1600-O224-2DR4-LPO-SIPH</x:v>
      </x:c>
      <x:c r="B971" s="19" t="str">
        <x:v>C062</x:v>
      </x:c>
      <x:c r="C971" s="19" t="n">
        <x:v>1</x:v>
      </x:c>
      <x:c r="D971" s="19" t="str">
        <x:v>按封装</x:v>
      </x:c>
      <x:c r="E971" s="19" t="str">
        <x:v>互连工艺</x:v>
      </x:c>
      <x:c r="F971" s="19" t="str">
        <x:v>flip-chip平台使用</x:v>
      </x:c>
    </x:row>
    <x:row r="972" ht="15" hidden="0" customHeight="1">
      <x:c r="A972" s="19" t="str">
        <x:v>1600-O224-2DR4-LPO-SIPH</x:v>
      </x:c>
      <x:c r="B972" s="19" t="str">
        <x:v>C063</x:v>
      </x:c>
      <x:c r="C972" s="19" t="n">
        <x:v>1</x:v>
      </x:c>
      <x:c r="D972" s="19" t="str">
        <x:v>按封装</x:v>
      </x:c>
      <x:c r="E972" s="19" t="str">
        <x:v>互连工艺</x:v>
      </x:c>
      <x:c r="F972" s="19" t="str">
        <x:v>wire/ribbon bond平台使用</x:v>
      </x:c>
    </x:row>
    <x:row r="973" ht="15" hidden="0" customHeight="1">
      <x:c r="A973" s="19" t="str">
        <x:v>1600-O224-2DR4-LPO-SIPH</x:v>
      </x:c>
      <x:c r="B973" s="19" t="str">
        <x:v>C014</x:v>
      </x:c>
      <x:c r="C973" s="19" t="n">
        <x:v>8</x:v>
      </x:c>
      <x:c r="D973" s="19" t="str">
        <x:v>必需</x:v>
      </x:c>
      <x:c r="E973" s="19" t="str">
        <x:v>功能通道数</x:v>
      </x:c>
      <x:c r="F973" s="19" t="str">
        <x:v>可能为阵列/多通道die，非精确封装颗数</x:v>
      </x:c>
    </x:row>
    <x:row r="974" ht="15" hidden="0" customHeight="1">
      <x:c r="A974" s="19" t="str">
        <x:v>1600-O224-2DR4-LPO-SIPH</x:v>
      </x:c>
      <x:c r="B974" s="19" t="str">
        <x:v>C015</x:v>
      </x:c>
      <x:c r="C974" s="19" t="n">
        <x:v>8</x:v>
      </x:c>
      <x:c r="D974" s="19" t="str">
        <x:v>必需</x:v>
      </x:c>
      <x:c r="E974" s="19" t="str">
        <x:v>功能通道数</x:v>
      </x:c>
      <x:c r="F974" s="19" t="str">
        <x:v>可能为阵列/多通道die，非精确封装颗数</x:v>
      </x:c>
    </x:row>
    <x:row r="975" ht="15" hidden="0" customHeight="1">
      <x:c r="A975" s="19" t="str">
        <x:v>1600-O224-2DR4-LPO-SIPH</x:v>
      </x:c>
      <x:c r="B975" s="19" t="str">
        <x:v>C025</x:v>
      </x:c>
      <x:c r="C975" s="19" t="n">
        <x:v>1</x:v>
      </x:c>
      <x:c r="D975" s="19" t="str">
        <x:v>必需</x:v>
      </x:c>
      <x:c r="E975" s="19" t="str">
        <x:v>PIC级</x:v>
      </x:c>
      <x:c r="F975" s="19" t="str">
        <x:v>具体是否MZM或MRR需供应商证据</x:v>
      </x:c>
    </x:row>
    <x:row r="976" ht="15" hidden="0" customHeight="1">
      <x:c r="A976" s="19" t="str">
        <x:v>1600-O224-2DR4-LPO-SIPH</x:v>
      </x:c>
      <x:c r="B976" s="19" t="str">
        <x:v>C026</x:v>
      </x:c>
      <x:c r="C976" s="19" t="n">
        <x:v>8</x:v>
      </x:c>
      <x:c r="D976" s="19" t="str">
        <x:v>代表性</x:v>
      </x:c>
      <x:c r="E976" s="19" t="str">
        <x:v>微结构</x:v>
      </x:c>
      <x:c r="F976" s="19" t="str">
        <x:v>默认以MZM表示，若厂商披露MRR应改用C027</x:v>
      </x:c>
    </x:row>
    <x:row r="977" ht="15" hidden="0" customHeight="1">
      <x:c r="A977" s="19" t="str">
        <x:v>1600-O224-2DR4-LPO-SIPH</x:v>
      </x:c>
      <x:c r="B977" s="19" t="str">
        <x:v>C028</x:v>
      </x:c>
      <x:c r="C977" s="19" t="n">
        <x:v>8</x:v>
      </x:c>
      <x:c r="D977" s="19" t="str">
        <x:v>内嵌</x:v>
      </x:c>
      <x:c r="E977" s="19" t="str">
        <x:v>微结构</x:v>
      </x:c>
      <x:c r="F977" s="19" t="str">
        <x:v>相移器</x:v>
      </x:c>
    </x:row>
    <x:row r="978" ht="15" hidden="0" customHeight="1">
      <x:c r="A978" s="19" t="str">
        <x:v>1600-O224-2DR4-LPO-SIPH</x:v>
      </x:c>
      <x:c r="B978" s="19" t="str">
        <x:v>C029</x:v>
      </x:c>
      <x:c r="C978" s="19" t="n">
        <x:v>8</x:v>
      </x:c>
      <x:c r="D978" s="19" t="str">
        <x:v>内嵌</x:v>
      </x:c>
      <x:c r="E978" s="19" t="str">
        <x:v>微结构</x:v>
      </x:c>
      <x:c r="F978" s="19" t="str">
        <x:v>片上光路</x:v>
      </x:c>
    </x:row>
    <x:row r="979" ht="15" hidden="0" customHeight="1">
      <x:c r="A979" s="19" t="str">
        <x:v>1600-O224-2DR4-LPO-SIPH</x:v>
      </x:c>
      <x:c r="B979" s="19" t="str">
        <x:v>C064</x:v>
      </x:c>
      <x:c r="C979" s="19" t="n">
        <x:v>1</x:v>
      </x:c>
      <x:c r="D979" s="19" t="str">
        <x:v>按实现</x:v>
      </x:c>
      <x:c r="E979" s="19" t="str">
        <x:v>微结构</x:v>
      </x:c>
      <x:c r="F979" s="19" t="str">
        <x:v>偏振管理</x:v>
      </x:c>
    </x:row>
    <x:row r="980" ht="15" hidden="0" customHeight="1">
      <x:c r="A980" s="19" t="str">
        <x:v>1600-O224-2DR4-LPO-SIPH</x:v>
      </x:c>
      <x:c r="B980" s="19" t="str">
        <x:v>C065</x:v>
      </x:c>
      <x:c r="C980" s="19" t="n">
        <x:v>1</x:v>
      </x:c>
      <x:c r="D980" s="19" t="str">
        <x:v>按实现</x:v>
      </x:c>
      <x:c r="E980" s="19" t="str">
        <x:v>微结构</x:v>
      </x:c>
      <x:c r="F980" s="19" t="str">
        <x:v>抽光监控</x:v>
      </x:c>
    </x:row>
    <x:row r="981" ht="15" hidden="0" customHeight="1">
      <x:c r="A981" s="19" t="str">
        <x:v>1600-O224-2DR4-LPO-SIPH</x:v>
      </x:c>
      <x:c r="B981" s="19" t="str">
        <x:v>C066</x:v>
      </x:c>
      <x:c r="C981" s="19" t="n">
        <x:v>1</x:v>
      </x:c>
      <x:c r="D981" s="19" t="str">
        <x:v>按实现</x:v>
      </x:c>
      <x:c r="E981" s="19" t="str">
        <x:v>微结构</x:v>
      </x:c>
      <x:c r="F981" s="19" t="str">
        <x:v>微环/AWG/滤波结构热调谐</x:v>
      </x:c>
    </x:row>
    <x:row r="982" ht="15" hidden="0" customHeight="1">
      <x:c r="A982" s="19" t="str">
        <x:v>1600-O224-2DR4-LPO-SIPH</x:v>
      </x:c>
      <x:c r="B982" s="19" t="str">
        <x:v>C030</x:v>
      </x:c>
      <x:c r="C982" s="19" t="n">
        <x:v>8</x:v>
      </x:c>
      <x:c r="D982" s="19" t="str">
        <x:v>必需</x:v>
      </x:c>
      <x:c r="E982" s="19" t="str">
        <x:v>光通道</x:v>
      </x:c>
      <x:c r="F982" s="19" t="str">
        <x:v>Ge/Si PIN</x:v>
      </x:c>
    </x:row>
    <x:row r="983" ht="15" hidden="0" customHeight="1">
      <x:c r="A983" s="19" t="str">
        <x:v>1600-O224-2DR4-LPO-SIPH</x:v>
      </x:c>
      <x:c r="B983" s="19" t="str">
        <x:v>C039</x:v>
      </x:c>
      <x:c r="C983" s="19" t="n">
        <x:v>8</x:v>
      </x:c>
      <x:c r="D983" s="19" t="str">
        <x:v>二选一</x:v>
      </x:c>
      <x:c r="E983" s="19" t="str">
        <x:v>耦合方式</x:v>
      </x:c>
      <x:c r="F983" s="19" t="str">
        <x:v>与边缘耦合器二选一或混用</x:v>
      </x:c>
    </x:row>
    <x:row r="984" ht="15" hidden="0" customHeight="1">
      <x:c r="A984" s="19" t="str">
        <x:v>1600-O224-2DR4-LPO-SIPH</x:v>
      </x:c>
      <x:c r="B984" s="19" t="str">
        <x:v>C040</x:v>
      </x:c>
      <x:c r="C984" s="19" t="n">
        <x:v>8</x:v>
      </x:c>
      <x:c r="D984" s="19" t="str">
        <x:v>二选一</x:v>
      </x:c>
      <x:c r="E984" s="19" t="str">
        <x:v>耦合方式</x:v>
      </x:c>
      <x:c r="F984" s="19" t="str">
        <x:v>与光栅耦合器二选一或混用</x:v>
      </x:c>
    </x:row>
    <x:row r="985" ht="15" hidden="0" customHeight="1">
      <x:c r="A985" s="19" t="str">
        <x:v>1600-O224-2DR4-LPO-SIPH</x:v>
      </x:c>
      <x:c r="B985" s="19" t="str">
        <x:v>C023</x:v>
      </x:c>
      <x:c r="C985" s="19" t="n">
        <x:v>1</x:v>
      </x:c>
      <x:c r="D985" s="19" t="str">
        <x:v>必需</x:v>
      </x:c>
      <x:c r="E985" s="19" t="str">
        <x:v>光源级</x:v>
      </x:c>
      <x:c r="F985" s="19" t="str">
        <x:v>可为多波长/多激光阵列</x:v>
      </x:c>
    </x:row>
    <x:row r="986" ht="15" hidden="0" customHeight="1">
      <x:c r="A986" s="19" t="str">
        <x:v>1600-O224-2DR4-LPO-SIPH</x:v>
      </x:c>
      <x:c r="B986" s="19" t="str">
        <x:v>C022</x:v>
      </x:c>
      <x:c r="C986" s="19" t="n">
        <x:v>1</x:v>
      </x:c>
      <x:c r="D986" s="19" t="str">
        <x:v>内嵌</x:v>
      </x:c>
      <x:c r="E986" s="19" t="str">
        <x:v>微结构</x:v>
      </x:c>
      <x:c r="F986" s="19" t="str">
        <x:v>CW DFB内部光栅</x:v>
      </x:c>
    </x:row>
    <x:row r="987" ht="15" hidden="0" customHeight="1">
      <x:c r="A987" s="19" t="str">
        <x:v>1600-O224-2DR4-LPO-SIPH</x:v>
      </x:c>
      <x:c r="B987" s="19" t="str">
        <x:v>C049</x:v>
      </x:c>
      <x:c r="C987" s="19" t="n">
        <x:v>8</x:v>
      </x:c>
      <x:c r="D987" s="19" t="str">
        <x:v>必需</x:v>
      </x:c>
      <x:c r="E987" s="19" t="str">
        <x:v>光纤通道</x:v>
      </x:c>
      <x:c r="F987" s="19" t="str">
        <x:v>PSM SMF</x:v>
      </x:c>
    </x:row>
    <x:row r="988" ht="15" hidden="0" customHeight="1">
      <x:c r="A988" s="19"/>
      <x:c r="B988" s="19"/>
      <x:c r="C988" s="19"/>
      <x:c r="D988" s="19"/>
      <x:c r="E988" s="19"/>
      <x:c r="F988" s="19"/>
    </x:row>
    <x:row r="989" ht="15" hidden="0" customHeight="1">
      <x:c r="A989" s="19"/>
      <x:c r="B989" s="19"/>
      <x:c r="C989" s="19"/>
      <x:c r="D989" s="19"/>
      <x:c r="E989" s="19"/>
      <x:c r="F989" s="19"/>
    </x:row>
    <x:row r="990" ht="15" hidden="0" customHeight="1">
      <x:c r="A990" s="19"/>
      <x:c r="B990" s="19"/>
      <x:c r="C990" s="19"/>
      <x:c r="D990" s="19"/>
      <x:c r="E990" s="19"/>
      <x:c r="F990" s="19"/>
    </x:row>
    <x:row r="991" ht="15" hidden="0" customHeight="1">
      <x:c r="A991" s="19" t="str">
        <x:v>1600-O224-2DR4-LPO-SIPH</x:v>
      </x:c>
      <x:c r="B991" s="19" t="str">
        <x:v>C037</x:v>
      </x:c>
      <x:c r="C991" s="19" t="n">
        <x:v>8</x:v>
      </x:c>
      <x:c r="D991" s="19" t="str">
        <x:v>按实现</x:v>
      </x:c>
      <x:c r="E991" s="19" t="str">
        <x:v>光通道</x:v>
      </x:c>
      <x:c r="F991" s="19" t="str">
        <x:v>自由空间/阵列耦合时使用</x:v>
      </x:c>
    </x:row>
    <x:row r="992" ht="15" hidden="0" customHeight="1">
      <x:c r="A992" s="19" t="str">
        <x:v>1600-O224-2DR4-LPO-SIPH</x:v>
      </x:c>
      <x:c r="B992" s="19" t="str">
        <x:v>C038</x:v>
      </x:c>
      <x:c r="C992" s="19" t="n">
        <x:v>8</x:v>
      </x:c>
      <x:c r="D992" s="19" t="str">
        <x:v>按实现</x:v>
      </x:c>
      <x:c r="E992" s="19" t="str">
        <x:v>光通道</x:v>
      </x:c>
      <x:c r="F992" s="19" t="str">
        <x:v>FAU可能按阵列封装，不等于单根数量</x:v>
      </x:c>
    </x:row>
    <x:row r="993" ht="15" hidden="0" customHeight="1">
      <x:c r="A993" s="19" t="str">
        <x:v>1600-O224-2DR4-LPO-SIPH</x:v>
      </x:c>
      <x:c r="B993" s="19" t="str">
        <x:v>C044</x:v>
      </x:c>
      <x:c r="C993" s="19" t="n">
        <x:v>2</x:v>
      </x:c>
      <x:c r="D993" s="19" t="str">
        <x:v>必需</x:v>
      </x:c>
      <x:c r="E993" s="19" t="str">
        <x:v>连接器级</x:v>
      </x:c>
      <x:c r="F993" s="19" t="str">
        <x:v>Dual MPO12</x:v>
      </x:c>
    </x:row>
    <x:row r="994" ht="15" hidden="0" customHeight="1">
      <x:c r="A994" s="19" t="str">
        <x:v>1600-O224-2DR4-LPO-SIPH</x:v>
      </x:c>
      <x:c r="B994" s="19" t="str">
        <x:v>C045</x:v>
      </x:c>
      <x:c r="C994" s="19" t="n">
        <x:v>2</x:v>
      </x:c>
      <x:c r="D994" s="19" t="str">
        <x:v>内嵌</x:v>
      </x:c>
      <x:c r="E994" s="19" t="str">
        <x:v>连接器级</x:v>
      </x:c>
      <x:c r="F994" s="19" t="str">
        <x:v>MT插芯</x:v>
      </x:c>
    </x:row>
    <x:row r="995" ht="15" hidden="0" customHeight="1">
      <x:c r="A995" s="19" t="str">
        <x:v>1600-O224-2DR4-LPO-SIPH</x:v>
      </x:c>
      <x:c r="B995" s="19" t="str">
        <x:v>C046</x:v>
      </x:c>
      <x:c r="C995" s="19" t="n">
        <x:v>2</x:v>
      </x:c>
      <x:c r="D995" s="19" t="str">
        <x:v>内嵌</x:v>
      </x:c>
      <x:c r="E995" s="19" t="str">
        <x:v>连接器级</x:v>
      </x:c>
      <x:c r="F995" s="19" t="str">
        <x:v>导针与弹簧</x:v>
      </x:c>
    </x:row>
    <x:row r="996" ht="15" hidden="0" customHeight="1">
      <x:c r="A996" s="19" t="str">
        <x:v>1600-O224-2DR4-LPO-SIPH</x:v>
      </x:c>
      <x:c r="B996" s="19" t="str">
        <x:v>C053</x:v>
      </x:c>
      <x:c r="C996" s="19" t="n">
        <x:v>1</x:v>
      </x:c>
      <x:c r="D996" s="19" t="str">
        <x:v>必需</x:v>
      </x:c>
      <x:c r="E996" s="19" t="str">
        <x:v>热管理</x:v>
      </x:c>
      <x:c r="F996" s="19" t="str">
        <x:v>TIM</x:v>
      </x:c>
    </x:row>
    <x:row r="997" ht="15" hidden="0" customHeight="1">
      <x:c r="A997" s="19" t="str">
        <x:v>1600-O224-2DR4-LPO-SIPH</x:v>
      </x:c>
      <x:c r="B997" s="19" t="str">
        <x:v>C054</x:v>
      </x:c>
      <x:c r="C997" s="19" t="n">
        <x:v>1</x:v>
      </x:c>
      <x:c r="D997" s="19" t="str">
        <x:v>按实现</x:v>
      </x:c>
      <x:c r="E997" s="19" t="str">
        <x:v>封装</x:v>
      </x:c>
      <x:c r="F997" s="19" t="str">
        <x:v>光学胶/底填</x:v>
      </x:c>
    </x:row>
    <x:row r="998" ht="15" hidden="0" customHeight="1">
      <x:c r="A998" s="19" t="str">
        <x:v>1600-O224-DR8-RTLR</x:v>
      </x:c>
      <x:c r="B998" s="19" t="str">
        <x:v>C001</x:v>
      </x:c>
      <x:c r="C998" s="19" t="n">
        <x:v>1</x:v>
      </x:c>
      <x:c r="D998" s="19" t="str">
        <x:v>必需</x:v>
      </x:c>
      <x:c r="E998" s="19" t="str">
        <x:v>形态级</x:v>
      </x:c>
      <x:c r="F998" s="19" t="str">
        <x:v>OSFP224</x:v>
      </x:c>
    </x:row>
    <x:row r="999" ht="15" hidden="0" customHeight="1">
      <x:c r="A999" s="19" t="str">
        <x:v>1600-O224-DR8-RTLR</x:v>
      </x:c>
      <x:c r="B999" s="19" t="str">
        <x:v>C002</x:v>
      </x:c>
      <x:c r="C999" s="19" t="n">
        <x:v>1</x:v>
      </x:c>
      <x:c r="D999" s="19" t="str">
        <x:v>必需</x:v>
      </x:c>
      <x:c r="E999" s="19" t="str">
        <x:v>形态级</x:v>
      </x:c>
      <x:c r="F999" s="19" t="str">
        <x:v>散热能力需按功耗校核</x:v>
      </x:c>
    </x:row>
    <x:row r="1000" ht="15" hidden="0" customHeight="1">
      <x:c r="A1000" s="19" t="str">
        <x:v>1600-O224-DR8-RTLR</x:v>
      </x:c>
      <x:c r="B1000" s="19" t="str">
        <x:v>C003</x:v>
      </x:c>
      <x:c r="C1000" s="19" t="n">
        <x:v>1</x:v>
      </x:c>
      <x:c r="D1000" s="19" t="str">
        <x:v>必需</x:v>
      </x:c>
      <x:c r="E1000" s="19" t="str">
        <x:v>形态级</x:v>
      </x:c>
      <x:c r="F1000" s="19" t="str">
        <x:v>CPO无传统前面板模块拉环</x:v>
      </x:c>
    </x:row>
    <x:row r="1001" ht="15" hidden="0" customHeight="1">
      <x:c r="A1001" s="19" t="str">
        <x:v>1600-O224-DR8-RTLR</x:v>
      </x:c>
      <x:c r="B1001" s="19" t="str">
        <x:v>C004</x:v>
      </x:c>
      <x:c r="C1001" s="19" t="n">
        <x:v>1</x:v>
      </x:c>
      <x:c r="D1001" s="19" t="str">
        <x:v>必需</x:v>
      </x:c>
      <x:c r="E1001" s="19" t="str">
        <x:v>代表性</x:v>
      </x:c>
      <x:c r="F1001" s="19" t="str">
        <x:v>EMI屏蔽结构依外壳设计</x:v>
      </x:c>
    </x:row>
    <x:row r="1002" ht="15" hidden="0" customHeight="1">
      <x:c r="A1002" s="19" t="str">
        <x:v>1600-O224-DR8-RTLR</x:v>
      </x:c>
      <x:c r="B1002" s="19" t="str">
        <x:v>C005</x:v>
      </x:c>
      <x:c r="C1002" s="19" t="n">
        <x:v>1</x:v>
      </x:c>
      <x:c r="D1002" s="19" t="str">
        <x:v>必需</x:v>
      </x:c>
      <x:c r="E1002" s="19" t="str">
        <x:v>代表性</x:v>
      </x:c>
      <x:c r="F1002" s="19" t="str">
        <x:v>CPO可采用封装基板+系统PCB</x:v>
      </x:c>
    </x:row>
    <x:row r="1003" ht="15" hidden="0" customHeight="1">
      <x:c r="A1003" s="19" t="str">
        <x:v>1600-O224-DR8-RTLR</x:v>
      </x:c>
      <x:c r="B1003" s="19" t="str">
        <x:v>C056</x:v>
      </x:c>
      <x:c r="C1003" s="19" t="n">
        <x:v>1</x:v>
      </x:c>
      <x:c r="D1003" s="19" t="str">
        <x:v>必需</x:v>
      </x:c>
      <x:c r="E1003" s="19" t="str">
        <x:v>形态级</x:v>
      </x:c>
      <x:c r="F1003" s="19" t="str">
        <x:v>可插拔模块主机侧金手指/电连接器</x:v>
      </x:c>
    </x:row>
    <x:row r="1004" ht="15" hidden="0" customHeight="1">
      <x:c r="A1004" s="19" t="str">
        <x:v>1600-O224-DR8-RTLR</x:v>
      </x:c>
      <x:c r="B1004" s="19" t="str">
        <x:v>C057</x:v>
      </x:c>
      <x:c r="C1004" s="19" t="n">
        <x:v>1</x:v>
      </x:c>
      <x:c r="D1004" s="19" t="str">
        <x:v>系统配套</x:v>
      </x:c>
      <x:c r="E1004" s="19" t="str">
        <x:v>系统级</x:v>
      </x:c>
      <x:c r="F1004" s="19" t="str">
        <x:v>cage不属于模块内采购BOM</x:v>
      </x:c>
    </x:row>
    <x:row r="1005" ht="15" hidden="0" customHeight="1">
      <x:c r="A1005" s="19" t="str">
        <x:v>1600-O224-DR8-RTLR</x:v>
      </x:c>
      <x:c r="B1005" s="19" t="str">
        <x:v>C007</x:v>
      </x:c>
      <x:c r="C1005" s="19" t="n">
        <x:v>1</x:v>
      </x:c>
      <x:c r="D1005" s="19" t="str">
        <x:v>必需</x:v>
      </x:c>
      <x:c r="E1005" s="19" t="str">
        <x:v>代表性</x:v>
      </x:c>
      <x:c r="F1005" s="19" t="str">
        <x:v>光引擎承载基板/Interposer</x:v>
      </x:c>
    </x:row>
    <x:row r="1006" ht="15" hidden="0" customHeight="1">
      <x:c r="A1006" s="19" t="str">
        <x:v>1600-O224-DR8-RTLR</x:v>
      </x:c>
      <x:c r="B1006" s="19" t="str">
        <x:v>C008</x:v>
      </x:c>
      <x:c r="C1006" s="19" t="n">
        <x:v>1</x:v>
      </x:c>
      <x:c r="D1006" s="19" t="str">
        <x:v>必需</x:v>
      </x:c>
      <x:c r="E1006" s="19" t="str">
        <x:v>代表性</x:v>
      </x:c>
      <x:c r="F1006" s="19" t="str">
        <x:v>数量按功耗域，不等于精确颗数</x:v>
      </x:c>
    </x:row>
    <x:row r="1007" ht="15" hidden="0" customHeight="1">
      <x:c r="A1007" s="19" t="str">
        <x:v>1600-O224-DR8-RTLR</x:v>
      </x:c>
      <x:c r="B1007" s="19" t="str">
        <x:v>C009</x:v>
      </x:c>
      <x:c r="C1007" s="19" t="n">
        <x:v>1</x:v>
      </x:c>
      <x:c r="D1007" s="19" t="str">
        <x:v>必需</x:v>
      </x:c>
      <x:c r="E1007" s="19" t="str">
        <x:v>管理接口</x:v>
      </x:c>
      <x:c r="F1007" s="19" t="str">
        <x:v>可插拔模块使用CMIS管理</x:v>
      </x:c>
    </x:row>
    <x:row r="1008" ht="15" hidden="0" customHeight="1">
      <x:c r="A1008" s="19" t="str">
        <x:v>1600-O224-DR8-RTLR</x:v>
      </x:c>
      <x:c r="B1008" s="19" t="str">
        <x:v>C010</x:v>
      </x:c>
      <x:c r="C1008" s="19" t="n">
        <x:v>1</x:v>
      </x:c>
      <x:c r="D1008" s="19" t="str">
        <x:v>按实现</x:v>
      </x:c>
      <x:c r="E1008" s="19" t="str">
        <x:v>代表性</x:v>
      </x:c>
      <x:c r="F1008" s="19" t="str">
        <x:v>模块控制与校准</x:v>
      </x:c>
    </x:row>
    <x:row r="1009" ht="15" hidden="0" customHeight="1">
      <x:c r="A1009" s="19" t="str">
        <x:v>1600-O224-DR8-RTLR</x:v>
      </x:c>
      <x:c r="B1009" s="19" t="str">
        <x:v>C058</x:v>
      </x:c>
      <x:c r="C1009" s="19" t="n">
        <x:v>1</x:v>
      </x:c>
      <x:c r="D1009" s="19" t="str">
        <x:v>按实现</x:v>
      </x:c>
      <x:c r="E1009" s="19" t="str">
        <x:v>时钟架构</x:v>
      </x:c>
      <x:c r="F1009" s="19" t="str">
        <x:v>可由主机提供REFCLK或使用模块内时钟器件</x:v>
      </x:c>
    </x:row>
    <x:row r="1010" ht="15" hidden="0" customHeight="1">
      <x:c r="A1010" s="19" t="str">
        <x:v>1600-O224-DR8-RTLR</x:v>
      </x:c>
      <x:c r="B1010" s="19" t="str">
        <x:v>C059</x:v>
      </x:c>
      <x:c r="C1010" s="19" t="n">
        <x:v>1</x:v>
      </x:c>
      <x:c r="D1010" s="19" t="str">
        <x:v>必需/可集成</x:v>
      </x:c>
      <x:c r="E1010" s="19" t="str">
        <x:v>监控功能</x:v>
      </x:c>
      <x:c r="F1010" s="19" t="str">
        <x:v>CMIS/控制系统温度监测</x:v>
      </x:c>
    </x:row>
    <x:row r="1011" ht="15" hidden="0" customHeight="1">
      <x:c r="A1011" s="19" t="str">
        <x:v>1600-O224-DR8-RTLR</x:v>
      </x:c>
      <x:c r="B1011" s="19" t="str">
        <x:v>C060</x:v>
      </x:c>
      <x:c r="C1011" s="19" t="n">
        <x:v>1</x:v>
      </x:c>
      <x:c r="D1011" s="19" t="str">
        <x:v>必需</x:v>
      </x:c>
      <x:c r="E1011" s="19" t="str">
        <x:v>器件组</x:v>
      </x:c>
      <x:c r="F1011" s="19" t="str">
        <x:v>R/C/L数量不按lane数表示</x:v>
      </x:c>
    </x:row>
    <x:row r="1012" ht="15" hidden="0" customHeight="1">
      <x:c r="A1012" s="19" t="str">
        <x:v>1600-O224-DR8-RTLR</x:v>
      </x:c>
      <x:c r="B1012" s="19" t="str">
        <x:v>C062</x:v>
      </x:c>
      <x:c r="C1012" s="19" t="n">
        <x:v>1</x:v>
      </x:c>
      <x:c r="D1012" s="19" t="str">
        <x:v>按封装</x:v>
      </x:c>
      <x:c r="E1012" s="19" t="str">
        <x:v>互连工艺</x:v>
      </x:c>
      <x:c r="F1012" s="19" t="str">
        <x:v>flip-chip平台使用</x:v>
      </x:c>
    </x:row>
    <x:row r="1013" ht="15" hidden="0" customHeight="1">
      <x:c r="A1013" s="19" t="str">
        <x:v>1600-O224-DR8-RTLR</x:v>
      </x:c>
      <x:c r="B1013" s="19" t="str">
        <x:v>C063</x:v>
      </x:c>
      <x:c r="C1013" s="19" t="n">
        <x:v>1</x:v>
      </x:c>
      <x:c r="D1013" s="19" t="str">
        <x:v>按封装</x:v>
      </x:c>
      <x:c r="E1013" s="19" t="str">
        <x:v>互连工艺</x:v>
      </x:c>
      <x:c r="F1013" s="19" t="str">
        <x:v>wire/ribbon bond平台使用</x:v>
      </x:c>
    </x:row>
    <x:row r="1014" ht="15" hidden="0" customHeight="1">
      <x:c r="A1014" s="19" t="str">
        <x:v>1600-O224-DR8-RTLR</x:v>
      </x:c>
      <x:c r="B1014" s="19" t="str">
        <x:v>C011</x:v>
      </x:c>
      <x:c r="C1014" s="19" t="n">
        <x:v>1</x:v>
      </x:c>
      <x:c r="D1014" s="19" t="str">
        <x:v>必需</x:v>
      </x:c>
      <x:c r="E1014" s="19" t="str">
        <x:v>架构级</x:v>
      </x:c>
      <x:c r="F1014" s="19" t="str">
        <x:v>Tx/Rx retimer边界按实现</x:v>
      </x:c>
    </x:row>
    <x:row r="1015" ht="15" hidden="0" customHeight="1">
      <x:c r="A1015" s="19" t="str">
        <x:v>1600-O224-DR8-RTLR</x:v>
      </x:c>
      <x:c r="B1015" s="19" t="str">
        <x:v>C013</x:v>
      </x:c>
      <x:c r="C1015" s="19" t="n">
        <x:v>1</x:v>
      </x:c>
      <x:c r="D1015" s="19" t="str">
        <x:v>必需</x:v>
      </x:c>
      <x:c r="E1015" s="19" t="str">
        <x:v>架构级</x:v>
      </x:c>
      <x:c r="F1015" s="19" t="str">
        <x:v>RTLR</x:v>
      </x:c>
    </x:row>
    <x:row r="1016" ht="15" hidden="0" customHeight="1">
      <x:c r="A1016" s="19" t="str">
        <x:v>1600-O224-DR8-RTLR</x:v>
      </x:c>
      <x:c r="B1016" s="19" t="str">
        <x:v>C014</x:v>
      </x:c>
      <x:c r="C1016" s="19" t="n">
        <x:v>8</x:v>
      </x:c>
      <x:c r="D1016" s="19" t="str">
        <x:v>必需</x:v>
      </x:c>
      <x:c r="E1016" s="19" t="str">
        <x:v>功能通道数</x:v>
      </x:c>
      <x:c r="F1016" s="19" t="str">
        <x:v>可能为阵列/多通道die，非精确封装颗数</x:v>
      </x:c>
    </x:row>
    <x:row r="1017" ht="15" hidden="0" customHeight="1">
      <x:c r="A1017" s="19" t="str">
        <x:v>1600-O224-DR8-RTLR</x:v>
      </x:c>
      <x:c r="B1017" s="19" t="str">
        <x:v>C015</x:v>
      </x:c>
      <x:c r="C1017" s="19" t="n">
        <x:v>8</x:v>
      </x:c>
      <x:c r="D1017" s="19" t="str">
        <x:v>必需</x:v>
      </x:c>
      <x:c r="E1017" s="19" t="str">
        <x:v>功能通道数</x:v>
      </x:c>
      <x:c r="F1017" s="19" t="str">
        <x:v>可能为阵列/多通道die，非精确封装颗数</x:v>
      </x:c>
    </x:row>
    <x:row r="1018" ht="15" hidden="0" customHeight="1">
      <x:c r="A1018" s="19" t="str">
        <x:v>1600-O224-DR8-RTLR</x:v>
      </x:c>
      <x:c r="B1018" s="19" t="str">
        <x:v>C031</x:v>
      </x:c>
      <x:c r="C1018" s="19" t="n">
        <x:v>8</x:v>
      </x:c>
      <x:c r="D1018" s="19" t="str">
        <x:v>按实现</x:v>
      </x:c>
      <x:c r="E1018" s="19" t="str">
        <x:v>代表性</x:v>
      </x:c>
      <x:c r="F1018" s="19" t="str">
        <x:v>厂商未完整披露</x:v>
      </x:c>
    </x:row>
    <x:row r="1019" ht="15" hidden="0" customHeight="1">
      <x:c r="A1019" s="19"/>
      <x:c r="B1019" s="19"/>
      <x:c r="C1019" s="19"/>
      <x:c r="D1019" s="19"/>
      <x:c r="E1019" s="19"/>
      <x:c r="F1019" s="19"/>
    </x:row>
    <x:row r="1020" ht="15" hidden="0" customHeight="1">
      <x:c r="A1020" s="19"/>
      <x:c r="B1020" s="19"/>
      <x:c r="C1020" s="19"/>
      <x:c r="D1020" s="19"/>
      <x:c r="E1020" s="19"/>
      <x:c r="F1020" s="19"/>
    </x:row>
    <x:row r="1021" ht="15" hidden="0" customHeight="1">
      <x:c r="A1021" s="19"/>
      <x:c r="B1021" s="19"/>
      <x:c r="C1021" s="19"/>
      <x:c r="D1021" s="19"/>
      <x:c r="E1021" s="19"/>
      <x:c r="F1021" s="19"/>
    </x:row>
    <x:row r="1022" ht="15" hidden="0" customHeight="1">
      <x:c r="A1022" s="19" t="str">
        <x:v>1600-O224-DR8-RTLR</x:v>
      </x:c>
      <x:c r="B1022" s="19" t="str">
        <x:v>C037</x:v>
      </x:c>
      <x:c r="C1022" s="19" t="n">
        <x:v>8</x:v>
      </x:c>
      <x:c r="D1022" s="19" t="str">
        <x:v>按实现</x:v>
      </x:c>
      <x:c r="E1022" s="19" t="str">
        <x:v>光通道</x:v>
      </x:c>
      <x:c r="F1022" s="19" t="str">
        <x:v>自由空间/阵列耦合时使用</x:v>
      </x:c>
    </x:row>
    <x:row r="1023" ht="15" hidden="0" customHeight="1">
      <x:c r="A1023" s="19" t="str">
        <x:v>1600-O224-DR8-RTLR</x:v>
      </x:c>
      <x:c r="B1023" s="19" t="str">
        <x:v>C038</x:v>
      </x:c>
      <x:c r="C1023" s="19" t="n">
        <x:v>8</x:v>
      </x:c>
      <x:c r="D1023" s="19" t="str">
        <x:v>按实现</x:v>
      </x:c>
      <x:c r="E1023" s="19" t="str">
        <x:v>光通道</x:v>
      </x:c>
      <x:c r="F1023" s="19" t="str">
        <x:v>FAU可能按阵列封装，不等于单根数量</x:v>
      </x:c>
    </x:row>
    <x:row r="1024" ht="15" hidden="0" customHeight="1">
      <x:c r="A1024" s="19" t="str">
        <x:v>1600-O224-DR8-RTLR</x:v>
      </x:c>
      <x:c r="B1024" s="19" t="str">
        <x:v>C044</x:v>
      </x:c>
      <x:c r="C1024" s="19" t="n">
        <x:v>1</x:v>
      </x:c>
      <x:c r="D1024" s="19" t="str">
        <x:v>必需</x:v>
      </x:c>
      <x:c r="E1024" s="19" t="str">
        <x:v>连接器级</x:v>
      </x:c>
      <x:c r="F1024" s="19" t="str">
        <x:v>MPO16/演示配置</x:v>
      </x:c>
    </x:row>
    <x:row r="1025" ht="15" hidden="0" customHeight="1">
      <x:c r="A1025" s="19" t="str">
        <x:v>1600-O224-DR8-RTLR</x:v>
      </x:c>
      <x:c r="B1025" s="19" t="str">
        <x:v>C045</x:v>
      </x:c>
      <x:c r="C1025" s="19" t="n">
        <x:v>1</x:v>
      </x:c>
      <x:c r="D1025" s="19" t="str">
        <x:v>内嵌</x:v>
      </x:c>
      <x:c r="E1025" s="19" t="str">
        <x:v>连接器级</x:v>
      </x:c>
      <x:c r="F1025" s="19" t="str">
        <x:v>MT插芯</x:v>
      </x:c>
    </x:row>
    <x:row r="1026" ht="15" hidden="0" customHeight="1">
      <x:c r="A1026" s="19" t="str">
        <x:v>1600-O224-DR8-RTLR</x:v>
      </x:c>
      <x:c r="B1026" s="19" t="str">
        <x:v>C046</x:v>
      </x:c>
      <x:c r="C1026" s="19" t="n">
        <x:v>1</x:v>
      </x:c>
      <x:c r="D1026" s="19" t="str">
        <x:v>内嵌</x:v>
      </x:c>
      <x:c r="E1026" s="19" t="str">
        <x:v>连接器级</x:v>
      </x:c>
      <x:c r="F1026" s="19" t="str">
        <x:v>导针与弹簧</x:v>
      </x:c>
    </x:row>
    <x:row r="1027" ht="15" hidden="0" customHeight="1">
      <x:c r="A1027" s="19" t="str">
        <x:v>1600-O224-DR8-RTLR</x:v>
      </x:c>
      <x:c r="B1027" s="19" t="str">
        <x:v>C053</x:v>
      </x:c>
      <x:c r="C1027" s="19" t="n">
        <x:v>1</x:v>
      </x:c>
      <x:c r="D1027" s="19" t="str">
        <x:v>必需</x:v>
      </x:c>
      <x:c r="E1027" s="19" t="str">
        <x:v>热管理</x:v>
      </x:c>
      <x:c r="F1027" s="19" t="str">
        <x:v>TIM</x:v>
      </x:c>
    </x:row>
    <x:row r="1028" ht="15" hidden="0" customHeight="1">
      <x:c r="A1028" s="19" t="str">
        <x:v>1600-O224-DR8-RTLR</x:v>
      </x:c>
      <x:c r="B1028" s="19" t="str">
        <x:v>C054</x:v>
      </x:c>
      <x:c r="C1028" s="19" t="n">
        <x:v>1</x:v>
      </x:c>
      <x:c r="D1028" s="19" t="str">
        <x:v>按实现</x:v>
      </x:c>
      <x:c r="E1028" s="19" t="str">
        <x:v>封装</x:v>
      </x:c>
      <x:c r="F1028" s="19" t="str">
        <x:v>光学胶/底填</x:v>
      </x:c>
    </x:row>
    <x:row r="1029" ht="15" hidden="0" customHeight="1">
      <x:c r="A1029" s="19" t="str">
        <x:v>1600-O224-SR8-8E8O-VCSEL</x:v>
      </x:c>
      <x:c r="B1029" s="19" t="str">
        <x:v>C001</x:v>
      </x:c>
      <x:c r="C1029" s="19" t="n">
        <x:v>1</x:v>
      </x:c>
      <x:c r="D1029" s="19" t="str">
        <x:v>必需</x:v>
      </x:c>
      <x:c r="E1029" s="19" t="str">
        <x:v>形态级</x:v>
      </x:c>
      <x:c r="F1029" s="19" t="str">
        <x:v>OSFP224</x:v>
      </x:c>
    </x:row>
    <x:row r="1030" ht="15" hidden="0" customHeight="1">
      <x:c r="A1030" s="19" t="str">
        <x:v>1600-O224-SR8-8E8O-VCSEL</x:v>
      </x:c>
      <x:c r="B1030" s="19" t="str">
        <x:v>C002</x:v>
      </x:c>
      <x:c r="C1030" s="19" t="n">
        <x:v>1</x:v>
      </x:c>
      <x:c r="D1030" s="19" t="str">
        <x:v>必需</x:v>
      </x:c>
      <x:c r="E1030" s="19" t="str">
        <x:v>形态级</x:v>
      </x:c>
      <x:c r="F1030" s="19" t="str">
        <x:v>散热能力需按功耗校核</x:v>
      </x:c>
    </x:row>
    <x:row r="1031" ht="15" hidden="0" customHeight="1">
      <x:c r="A1031" s="19" t="str">
        <x:v>1600-O224-SR8-8E8O-VCSEL</x:v>
      </x:c>
      <x:c r="B1031" s="19" t="str">
        <x:v>C003</x:v>
      </x:c>
      <x:c r="C1031" s="19" t="n">
        <x:v>1</x:v>
      </x:c>
      <x:c r="D1031" s="19" t="str">
        <x:v>必需</x:v>
      </x:c>
      <x:c r="E1031" s="19" t="str">
        <x:v>形态级</x:v>
      </x:c>
      <x:c r="F1031" s="19" t="str">
        <x:v>CPO无传统前面板模块拉环</x:v>
      </x:c>
    </x:row>
    <x:row r="1032" ht="15" hidden="0" customHeight="1">
      <x:c r="A1032" s="19" t="str">
        <x:v>1600-O224-SR8-8E8O-VCSEL</x:v>
      </x:c>
      <x:c r="B1032" s="19" t="str">
        <x:v>C004</x:v>
      </x:c>
      <x:c r="C1032" s="19" t="n">
        <x:v>1</x:v>
      </x:c>
      <x:c r="D1032" s="19" t="str">
        <x:v>必需</x:v>
      </x:c>
      <x:c r="E1032" s="19" t="str">
        <x:v>代表性</x:v>
      </x:c>
      <x:c r="F1032" s="19" t="str">
        <x:v>EMI屏蔽结构依外壳设计</x:v>
      </x:c>
    </x:row>
    <x:row r="1033" ht="15" hidden="0" customHeight="1">
      <x:c r="A1033" s="19" t="str">
        <x:v>1600-O224-SR8-8E8O-VCSEL</x:v>
      </x:c>
      <x:c r="B1033" s="19" t="str">
        <x:v>C005</x:v>
      </x:c>
      <x:c r="C1033" s="19" t="n">
        <x:v>1</x:v>
      </x:c>
      <x:c r="D1033" s="19" t="str">
        <x:v>必需</x:v>
      </x:c>
      <x:c r="E1033" s="19" t="str">
        <x:v>代表性</x:v>
      </x:c>
      <x:c r="F1033" s="19" t="str">
        <x:v>CPO可采用封装基板+系统PCB</x:v>
      </x:c>
    </x:row>
    <x:row r="1034" ht="15" hidden="0" customHeight="1">
      <x:c r="A1034" s="19" t="str">
        <x:v>1600-O224-SR8-8E8O-VCSEL</x:v>
      </x:c>
      <x:c r="B1034" s="19" t="str">
        <x:v>C056</x:v>
      </x:c>
      <x:c r="C1034" s="19" t="n">
        <x:v>1</x:v>
      </x:c>
      <x:c r="D1034" s="19" t="str">
        <x:v>必需</x:v>
      </x:c>
      <x:c r="E1034" s="19" t="str">
        <x:v>形态级</x:v>
      </x:c>
      <x:c r="F1034" s="19" t="str">
        <x:v>可插拔模块主机侧金手指/电连接器</x:v>
      </x:c>
    </x:row>
    <x:row r="1035" ht="15" hidden="0" customHeight="1">
      <x:c r="A1035" s="19" t="str">
        <x:v>1600-O224-SR8-8E8O-VCSEL</x:v>
      </x:c>
      <x:c r="B1035" s="19" t="str">
        <x:v>C057</x:v>
      </x:c>
      <x:c r="C1035" s="19" t="n">
        <x:v>1</x:v>
      </x:c>
      <x:c r="D1035" s="19" t="str">
        <x:v>系统配套</x:v>
      </x:c>
      <x:c r="E1035" s="19" t="str">
        <x:v>系统级</x:v>
      </x:c>
      <x:c r="F1035" s="19" t="str">
        <x:v>cage不属于模块内采购BOM</x:v>
      </x:c>
    </x:row>
    <x:row r="1036" ht="15" hidden="0" customHeight="1">
      <x:c r="A1036" s="19" t="str">
        <x:v>1600-O224-SR8-8E8O-VCSEL</x:v>
      </x:c>
      <x:c r="B1036" s="19" t="str">
        <x:v>C007</x:v>
      </x:c>
      <x:c r="C1036" s="19" t="n">
        <x:v>1</x:v>
      </x:c>
      <x:c r="D1036" s="19" t="str">
        <x:v>必需</x:v>
      </x:c>
      <x:c r="E1036" s="19" t="str">
        <x:v>代表性</x:v>
      </x:c>
      <x:c r="F1036" s="19" t="str">
        <x:v>光引擎承载基板/Interposer</x:v>
      </x:c>
    </x:row>
    <x:row r="1037" ht="15" hidden="0" customHeight="1">
      <x:c r="A1037" s="19" t="str">
        <x:v>1600-O224-SR8-8E8O-VCSEL</x:v>
      </x:c>
      <x:c r="B1037" s="19" t="str">
        <x:v>C008</x:v>
      </x:c>
      <x:c r="C1037" s="19" t="n">
        <x:v>1</x:v>
      </x:c>
      <x:c r="D1037" s="19" t="str">
        <x:v>必需</x:v>
      </x:c>
      <x:c r="E1037" s="19" t="str">
        <x:v>代表性</x:v>
      </x:c>
      <x:c r="F1037" s="19" t="str">
        <x:v>数量按功耗域，不等于精确颗数</x:v>
      </x:c>
    </x:row>
    <x:row r="1038" ht="15" hidden="0" customHeight="1">
      <x:c r="A1038" s="19" t="str">
        <x:v>1600-O224-SR8-8E8O-VCSEL</x:v>
      </x:c>
      <x:c r="B1038" s="19" t="str">
        <x:v>C009</x:v>
      </x:c>
      <x:c r="C1038" s="19" t="n">
        <x:v>1</x:v>
      </x:c>
      <x:c r="D1038" s="19" t="str">
        <x:v>必需</x:v>
      </x:c>
      <x:c r="E1038" s="19" t="str">
        <x:v>管理接口</x:v>
      </x:c>
      <x:c r="F1038" s="19" t="str">
        <x:v>可插拔模块使用CMIS管理</x:v>
      </x:c>
    </x:row>
    <x:row r="1039" ht="15" hidden="0" customHeight="1">
      <x:c r="A1039" s="19" t="str">
        <x:v>1600-O224-SR8-8E8O-VCSEL</x:v>
      </x:c>
      <x:c r="B1039" s="19" t="str">
        <x:v>C010</x:v>
      </x:c>
      <x:c r="C1039" s="19" t="n">
        <x:v>1</x:v>
      </x:c>
      <x:c r="D1039" s="19" t="str">
        <x:v>按实现</x:v>
      </x:c>
      <x:c r="E1039" s="19" t="str">
        <x:v>代表性</x:v>
      </x:c>
      <x:c r="F1039" s="19" t="str">
        <x:v>模块控制与校准</x:v>
      </x:c>
    </x:row>
    <x:row r="1040" ht="15" hidden="0" customHeight="1">
      <x:c r="A1040" s="19" t="str">
        <x:v>1600-O224-SR8-8E8O-VCSEL</x:v>
      </x:c>
      <x:c r="B1040" s="19" t="str">
        <x:v>C058</x:v>
      </x:c>
      <x:c r="C1040" s="19" t="n">
        <x:v>1</x:v>
      </x:c>
      <x:c r="D1040" s="19" t="str">
        <x:v>按实现</x:v>
      </x:c>
      <x:c r="E1040" s="19" t="str">
        <x:v>时钟架构</x:v>
      </x:c>
      <x:c r="F1040" s="19" t="str">
        <x:v>可由主机提供REFCLK或使用模块内时钟器件</x:v>
      </x:c>
    </x:row>
    <x:row r="1041" ht="15" hidden="0" customHeight="1">
      <x:c r="A1041" s="19" t="str">
        <x:v>1600-O224-SR8-8E8O-VCSEL</x:v>
      </x:c>
      <x:c r="B1041" s="19" t="str">
        <x:v>C059</x:v>
      </x:c>
      <x:c r="C1041" s="19" t="n">
        <x:v>1</x:v>
      </x:c>
      <x:c r="D1041" s="19" t="str">
        <x:v>必需/可集成</x:v>
      </x:c>
      <x:c r="E1041" s="19" t="str">
        <x:v>监控功能</x:v>
      </x:c>
      <x:c r="F1041" s="19" t="str">
        <x:v>CMIS/控制系统温度监测</x:v>
      </x:c>
    </x:row>
    <x:row r="1042" ht="15" hidden="0" customHeight="1">
      <x:c r="A1042" s="19" t="str">
        <x:v>1600-O224-SR8-8E8O-VCSEL</x:v>
      </x:c>
      <x:c r="B1042" s="19" t="str">
        <x:v>C060</x:v>
      </x:c>
      <x:c r="C1042" s="19" t="n">
        <x:v>1</x:v>
      </x:c>
      <x:c r="D1042" s="19" t="str">
        <x:v>必需</x:v>
      </x:c>
      <x:c r="E1042" s="19" t="str">
        <x:v>器件组</x:v>
      </x:c>
      <x:c r="F1042" s="19" t="str">
        <x:v>R/C/L数量不按lane数表示</x:v>
      </x:c>
    </x:row>
    <x:row r="1043" ht="15" hidden="0" customHeight="1">
      <x:c r="A1043" s="19" t="str">
        <x:v>1600-O224-SR8-8E8O-VCSEL</x:v>
      </x:c>
      <x:c r="B1043" s="19" t="str">
        <x:v>C062</x:v>
      </x:c>
      <x:c r="C1043" s="19" t="n">
        <x:v>1</x:v>
      </x:c>
      <x:c r="D1043" s="19" t="str">
        <x:v>按封装</x:v>
      </x:c>
      <x:c r="E1043" s="19" t="str">
        <x:v>互连工艺</x:v>
      </x:c>
      <x:c r="F1043" s="19" t="str">
        <x:v>flip-chip平台使用</x:v>
      </x:c>
    </x:row>
    <x:row r="1044" ht="15" hidden="0" customHeight="1">
      <x:c r="A1044" s="19" t="str">
        <x:v>1600-O224-SR8-8E8O-VCSEL</x:v>
      </x:c>
      <x:c r="B1044" s="19" t="str">
        <x:v>C063</x:v>
      </x:c>
      <x:c r="C1044" s="19" t="n">
        <x:v>1</x:v>
      </x:c>
      <x:c r="D1044" s="19" t="str">
        <x:v>按封装</x:v>
      </x:c>
      <x:c r="E1044" s="19" t="str">
        <x:v>互连工艺</x:v>
      </x:c>
      <x:c r="F1044" s="19" t="str">
        <x:v>wire/ribbon bond平台使用</x:v>
      </x:c>
    </x:row>
    <x:row r="1045" ht="15" hidden="0" customHeight="1">
      <x:c r="A1045" s="19" t="str">
        <x:v>1600-O224-SR8-8E8O-VCSEL</x:v>
      </x:c>
      <x:c r="B1045" s="19" t="str">
        <x:v>C011</x:v>
      </x:c>
      <x:c r="C1045" s="19" t="n">
        <x:v>1</x:v>
      </x:c>
      <x:c r="D1045" s="19" t="str">
        <x:v>必需</x:v>
      </x:c>
      <x:c r="E1045" s="19" t="str">
        <x:v>架构级</x:v>
      </x:c>
      <x:c r="F1045" s="19" t="str">
        <x:v>含DSP</x:v>
      </x:c>
    </x:row>
    <x:row r="1046" ht="15" hidden="0" customHeight="1">
      <x:c r="A1046" s="19" t="str">
        <x:v>1600-O224-SR8-8E8O-VCSEL</x:v>
      </x:c>
      <x:c r="B1046" s="19" t="str">
        <x:v>C014</x:v>
      </x:c>
      <x:c r="C1046" s="19" t="n">
        <x:v>8</x:v>
      </x:c>
      <x:c r="D1046" s="19" t="str">
        <x:v>必需</x:v>
      </x:c>
      <x:c r="E1046" s="19" t="str">
        <x:v>功能通道数</x:v>
      </x:c>
      <x:c r="F1046" s="19" t="str">
        <x:v>可能为阵列/多通道die，非精确封装颗数</x:v>
      </x:c>
    </x:row>
    <x:row r="1047" ht="15" hidden="0" customHeight="1">
      <x:c r="A1047" s="19" t="str">
        <x:v>1600-O224-SR8-8E8O-VCSEL</x:v>
      </x:c>
      <x:c r="B1047" s="19" t="str">
        <x:v>C015</x:v>
      </x:c>
      <x:c r="C1047" s="19" t="n">
        <x:v>8</x:v>
      </x:c>
      <x:c r="D1047" s="19" t="str">
        <x:v>必需</x:v>
      </x:c>
      <x:c r="E1047" s="19" t="str">
        <x:v>功能通道数</x:v>
      </x:c>
      <x:c r="F1047" s="19" t="str">
        <x:v>可能为阵列/多通道die，非精确封装颗数</x:v>
      </x:c>
    </x:row>
    <x:row r="1048" ht="15" hidden="0" customHeight="1">
      <x:c r="A1048" s="19" t="str">
        <x:v>1600-O224-SR8-8E8O-VCSEL</x:v>
      </x:c>
      <x:c r="B1048" s="19" t="str">
        <x:v>C016</x:v>
      </x:c>
      <x:c r="C1048" s="19" t="n">
        <x:v>8</x:v>
      </x:c>
      <x:c r="D1048" s="19" t="str">
        <x:v>必需</x:v>
      </x:c>
      <x:c r="E1048" s="19" t="str">
        <x:v>光通道</x:v>
      </x:c>
      <x:c r="F1048" s="19" t="str">
        <x:v>VCSEL阵列通道数</x:v>
      </x:c>
    </x:row>
    <x:row r="1049" ht="15" hidden="0" customHeight="1">
      <x:c r="A1049" s="19" t="str">
        <x:v>1600-O224-SR8-8E8O-VCSEL</x:v>
      </x:c>
      <x:c r="B1049" s="19" t="str">
        <x:v>C017</x:v>
      </x:c>
      <x:c r="C1049" s="19" t="n">
        <x:v>8</x:v>
      </x:c>
      <x:c r="D1049" s="19" t="str">
        <x:v>内嵌</x:v>
      </x:c>
      <x:c r="E1049" s="19" t="str">
        <x:v>微结构</x:v>
      </x:c>
      <x:c r="F1049" s="19" t="str">
        <x:v>每个VCSEL单元的氧化孔径</x:v>
      </x:c>
    </x:row>
    <x:row r="1050" ht="15" hidden="0" customHeight="1">
      <x:c r="A1050" s="19" t="str">
        <x:v>1600-O224-SR8-8E8O-VCSEL</x:v>
      </x:c>
      <x:c r="B1050" s="19" t="str">
        <x:v>C018</x:v>
      </x:c>
      <x:c r="C1050" s="19" t="n">
        <x:v>8</x:v>
      </x:c>
      <x:c r="D1050" s="19" t="str">
        <x:v>内嵌</x:v>
      </x:c>
      <x:c r="E1050" s="19" t="str">
        <x:v>微结构</x:v>
      </x:c>
      <x:c r="F1050" s="19" t="str">
        <x:v>上下DBR按外延周期形成，不是独立采购件</x:v>
      </x:c>
    </x:row>
    <x:row r="1051" ht="15" hidden="0" customHeight="1">
      <x:c r="A1051" s="19" t="str">
        <x:v>1600-O224-SR8-8E8O-VCSEL</x:v>
      </x:c>
      <x:c r="B1051" s="19" t="str">
        <x:v>C019</x:v>
      </x:c>
      <x:c r="C1051" s="19" t="n">
        <x:v>8</x:v>
      </x:c>
      <x:c r="D1051" s="19" t="str">
        <x:v>内嵌</x:v>
      </x:c>
      <x:c r="E1051" s="19" t="str">
        <x:v>微结构</x:v>
      </x:c>
      <x:c r="F1051" s="19" t="str">
        <x:v>谐振腔</x:v>
      </x:c>
    </x:row>
    <x:row r="1052" ht="15" hidden="0" customHeight="1">
      <x:c r="A1052" s="19" t="str">
        <x:v>1600-O224-SR8-8E8O-VCSEL</x:v>
      </x:c>
      <x:c r="B1052" s="19" t="str">
        <x:v>C068</x:v>
      </x:c>
      <x:c r="C1052" s="19" t="n">
        <x:v>8</x:v>
      </x:c>
      <x:c r="D1052" s="19" t="str">
        <x:v>内嵌</x:v>
      </x:c>
      <x:c r="E1052" s="19" t="str">
        <x:v>微结构</x:v>
      </x:c>
      <x:c r="F1052" s="19" t="str">
        <x:v>VCSEL量子阱有源区</x:v>
      </x:c>
    </x:row>
    <x:row r="1053" ht="15" hidden="0" customHeight="1">
      <x:c r="A1053" s="19" t="str">
        <x:v>1600-O224-SR8-8E8O-VCSEL</x:v>
      </x:c>
      <x:c r="B1053" s="19" t="str">
        <x:v>C061</x:v>
      </x:c>
      <x:c r="C1053" s="19" t="n">
        <x:v>1</x:v>
      </x:c>
      <x:c r="D1053" s="19" t="str">
        <x:v>按封装</x:v>
      </x:c>
      <x:c r="E1053" s="19" t="str">
        <x:v>封装</x:v>
      </x:c>
      <x:c r="F1053" s="19" t="str">
        <x:v>VCSEL/PD阵列承载</x:v>
      </x:c>
    </x:row>
    <x:row r="1054" ht="15" hidden="0" customHeight="1">
      <x:c r="A1054" s="19" t="str">
        <x:v>1600-O224-SR8-8E8O-VCSEL</x:v>
      </x:c>
      <x:c r="B1054" s="19" t="str">
        <x:v>C032</x:v>
      </x:c>
      <x:c r="C1054" s="19" t="n">
        <x:v>8</x:v>
      </x:c>
      <x:c r="D1054" s="19" t="str">
        <x:v>必需</x:v>
      </x:c>
      <x:c r="E1054" s="19" t="str">
        <x:v>光通道</x:v>
      </x:c>
      <x:c r="F1054" s="19" t="str">
        <x:v>GaAs PIN Array</x:v>
      </x:c>
    </x:row>
    <x:row r="1055" ht="15" hidden="0" customHeight="1">
      <x:c r="A1055" s="19" t="str">
        <x:v>1600-O224-SR8-8E8O-VCSEL</x:v>
      </x:c>
      <x:c r="B1055" s="19" t="str">
        <x:v>C050</x:v>
      </x:c>
      <x:c r="C1055" s="19" t="n">
        <x:v>8</x:v>
      </x:c>
      <x:c r="D1055" s="19" t="str">
        <x:v>必需</x:v>
      </x:c>
      <x:c r="E1055" s="19" t="str">
        <x:v>光纤通道</x:v>
      </x:c>
      <x:c r="F1055" s="19" t="str">
        <x:v>MMF</x:v>
      </x:c>
    </x:row>
    <x:row r="1056" ht="15" hidden="0" customHeight="1">
      <x:c r="A1056" s="19"/>
      <x:c r="B1056" s="19"/>
      <x:c r="C1056" s="19"/>
      <x:c r="D1056" s="19"/>
      <x:c r="E1056" s="19"/>
      <x:c r="F1056" s="19"/>
    </x:row>
    <x:row r="1057" ht="15" hidden="0" customHeight="1">
      <x:c r="A1057" s="19"/>
      <x:c r="B1057" s="19"/>
      <x:c r="C1057" s="19"/>
      <x:c r="D1057" s="19"/>
      <x:c r="E1057" s="19"/>
      <x:c r="F1057" s="19"/>
    </x:row>
    <x:row r="1058" ht="15" hidden="0" customHeight="1">
      <x:c r="A1058" s="19"/>
      <x:c r="B1058" s="19"/>
      <x:c r="C1058" s="19"/>
      <x:c r="D1058" s="19"/>
      <x:c r="E1058" s="19"/>
      <x:c r="F1058" s="19"/>
    </x:row>
    <x:row r="1059" ht="15" hidden="0" customHeight="1">
      <x:c r="A1059" s="19" t="str">
        <x:v>1600-O224-SR8-8E8O-VCSEL</x:v>
      </x:c>
      <x:c r="B1059" s="19" t="str">
        <x:v>C037</x:v>
      </x:c>
      <x:c r="C1059" s="19" t="n">
        <x:v>8</x:v>
      </x:c>
      <x:c r="D1059" s="19" t="str">
        <x:v>按实现</x:v>
      </x:c>
      <x:c r="E1059" s="19" t="str">
        <x:v>光通道</x:v>
      </x:c>
      <x:c r="F1059" s="19" t="str">
        <x:v>自由空间/阵列耦合时使用</x:v>
      </x:c>
    </x:row>
    <x:row r="1060" ht="15" hidden="0" customHeight="1">
      <x:c r="A1060" s="19" t="str">
        <x:v>1600-O224-SR8-8E8O-VCSEL</x:v>
      </x:c>
      <x:c r="B1060" s="19" t="str">
        <x:v>C038</x:v>
      </x:c>
      <x:c r="C1060" s="19" t="n">
        <x:v>8</x:v>
      </x:c>
      <x:c r="D1060" s="19" t="str">
        <x:v>按实现</x:v>
      </x:c>
      <x:c r="E1060" s="19" t="str">
        <x:v>光通道</x:v>
      </x:c>
      <x:c r="F1060" s="19" t="str">
        <x:v>FAU可能按阵列封装，不等于单根数量</x:v>
      </x:c>
    </x:row>
    <x:row r="1061" ht="15" hidden="0" customHeight="1">
      <x:c r="A1061" s="19" t="str">
        <x:v>1600-O224-SR8-8E8O-VCSEL</x:v>
      </x:c>
      <x:c r="B1061" s="19" t="str">
        <x:v>C044</x:v>
      </x:c>
      <x:c r="C1061" s="19" t="n">
        <x:v>1</x:v>
      </x:c>
      <x:c r="D1061" s="19" t="str">
        <x:v>必需</x:v>
      </x:c>
      <x:c r="E1061" s="19" t="str">
        <x:v>连接器级</x:v>
      </x:c>
      <x:c r="F1061" s="19" t="str">
        <x:v>MPO16/待标准</x:v>
      </x:c>
    </x:row>
    <x:row r="1062" ht="15" hidden="0" customHeight="1">
      <x:c r="A1062" s="19" t="str">
        <x:v>1600-O224-SR8-8E8O-VCSEL</x:v>
      </x:c>
      <x:c r="B1062" s="19" t="str">
        <x:v>C045</x:v>
      </x:c>
      <x:c r="C1062" s="19" t="n">
        <x:v>1</x:v>
      </x:c>
      <x:c r="D1062" s="19" t="str">
        <x:v>内嵌</x:v>
      </x:c>
      <x:c r="E1062" s="19" t="str">
        <x:v>连接器级</x:v>
      </x:c>
      <x:c r="F1062" s="19" t="str">
        <x:v>MT插芯</x:v>
      </x:c>
    </x:row>
    <x:row r="1063" ht="15" hidden="0" customHeight="1">
      <x:c r="A1063" s="19" t="str">
        <x:v>1600-O224-SR8-8E8O-VCSEL</x:v>
      </x:c>
      <x:c r="B1063" s="19" t="str">
        <x:v>C046</x:v>
      </x:c>
      <x:c r="C1063" s="19" t="n">
        <x:v>1</x:v>
      </x:c>
      <x:c r="D1063" s="19" t="str">
        <x:v>内嵌</x:v>
      </x:c>
      <x:c r="E1063" s="19" t="str">
        <x:v>连接器级</x:v>
      </x:c>
      <x:c r="F1063" s="19" t="str">
        <x:v>导针与弹簧</x:v>
      </x:c>
    </x:row>
    <x:row r="1064" ht="15" hidden="0" customHeight="1">
      <x:c r="A1064" s="19" t="str">
        <x:v>1600-O224-SR8-8E8O-VCSEL</x:v>
      </x:c>
      <x:c r="B1064" s="19" t="str">
        <x:v>C053</x:v>
      </x:c>
      <x:c r="C1064" s="19" t="n">
        <x:v>1</x:v>
      </x:c>
      <x:c r="D1064" s="19" t="str">
        <x:v>必需</x:v>
      </x:c>
      <x:c r="E1064" s="19" t="str">
        <x:v>热管理</x:v>
      </x:c>
      <x:c r="F1064" s="19" t="str">
        <x:v>TIM</x:v>
      </x:c>
    </x:row>
    <x:row r="1065" ht="15" hidden="0" customHeight="1">
      <x:c r="A1065" s="19" t="str">
        <x:v>1600-O224-SR8-8E8O-VCSEL</x:v>
      </x:c>
      <x:c r="B1065" s="19" t="str">
        <x:v>C054</x:v>
      </x:c>
      <x:c r="C1065" s="19" t="n">
        <x:v>1</x:v>
      </x:c>
      <x:c r="D1065" s="19" t="str">
        <x:v>按实现</x:v>
      </x:c>
      <x:c r="E1065" s="19" t="str">
        <x:v>封装</x:v>
      </x:c>
      <x:c r="F1065" s="19" t="str">
        <x:v>光学胶/底填</x:v>
      </x:c>
    </x:row>
    <x:row r="1066" ht="15" hidden="0" customHeight="1">
      <x:c r="A1066" s="19" t="str">
        <x:v>1600-O224-AOC-8E8O-SIPH</x:v>
      </x:c>
      <x:c r="B1066" s="19" t="str">
        <x:v>C001</x:v>
      </x:c>
      <x:c r="C1066" s="19" t="n">
        <x:v>1</x:v>
      </x:c>
      <x:c r="D1066" s="19" t="str">
        <x:v>必需</x:v>
      </x:c>
      <x:c r="E1066" s="19" t="str">
        <x:v>形态级</x:v>
      </x:c>
      <x:c r="F1066" s="19" t="str">
        <x:v>OSFP224 AOC</x:v>
      </x:c>
    </x:row>
    <x:row r="1067" ht="15" hidden="0" customHeight="1">
      <x:c r="A1067" s="19" t="str">
        <x:v>1600-O224-AOC-8E8O-SIPH</x:v>
      </x:c>
      <x:c r="B1067" s="19" t="str">
        <x:v>C002</x:v>
      </x:c>
      <x:c r="C1067" s="19" t="n">
        <x:v>1</x:v>
      </x:c>
      <x:c r="D1067" s="19" t="str">
        <x:v>必需</x:v>
      </x:c>
      <x:c r="E1067" s="19" t="str">
        <x:v>形态级</x:v>
      </x:c>
      <x:c r="F1067" s="19" t="str">
        <x:v>散热能力需按功耗校核</x:v>
      </x:c>
    </x:row>
    <x:row r="1068" ht="15" hidden="0" customHeight="1">
      <x:c r="A1068" s="19" t="str">
        <x:v>1600-O224-AOC-8E8O-SIPH</x:v>
      </x:c>
      <x:c r="B1068" s="19" t="str">
        <x:v>C003</x:v>
      </x:c>
      <x:c r="C1068" s="19" t="n">
        <x:v>1</x:v>
      </x:c>
      <x:c r="D1068" s="19" t="str">
        <x:v>必需</x:v>
      </x:c>
      <x:c r="E1068" s="19" t="str">
        <x:v>形态级</x:v>
      </x:c>
      <x:c r="F1068" s="19" t="str">
        <x:v>CPO无传统前面板模块拉环</x:v>
      </x:c>
    </x:row>
    <x:row r="1069" ht="15" hidden="0" customHeight="1">
      <x:c r="A1069" s="19" t="str">
        <x:v>1600-O224-AOC-8E8O-SIPH</x:v>
      </x:c>
      <x:c r="B1069" s="19" t="str">
        <x:v>C004</x:v>
      </x:c>
      <x:c r="C1069" s="19" t="n">
        <x:v>1</x:v>
      </x:c>
      <x:c r="D1069" s="19" t="str">
        <x:v>必需</x:v>
      </x:c>
      <x:c r="E1069" s="19" t="str">
        <x:v>代表性</x:v>
      </x:c>
      <x:c r="F1069" s="19" t="str">
        <x:v>EMI屏蔽结构依外壳设计</x:v>
      </x:c>
    </x:row>
    <x:row r="1070" ht="15" hidden="0" customHeight="1">
      <x:c r="A1070" s="19" t="str">
        <x:v>1600-O224-AOC-8E8O-SIPH</x:v>
      </x:c>
      <x:c r="B1070" s="19" t="str">
        <x:v>C005</x:v>
      </x:c>
      <x:c r="C1070" s="19" t="n">
        <x:v>1</x:v>
      </x:c>
      <x:c r="D1070" s="19" t="str">
        <x:v>必需</x:v>
      </x:c>
      <x:c r="E1070" s="19" t="str">
        <x:v>代表性</x:v>
      </x:c>
      <x:c r="F1070" s="19" t="str">
        <x:v>CPO可采用封装基板+系统PCB</x:v>
      </x:c>
    </x:row>
    <x:row r="1071" ht="15" hidden="0" customHeight="1">
      <x:c r="A1071" s="19" t="str">
        <x:v>1600-O224-AOC-8E8O-SIPH</x:v>
      </x:c>
      <x:c r="B1071" s="19" t="str">
        <x:v>C056</x:v>
      </x:c>
      <x:c r="C1071" s="19" t="n">
        <x:v>1</x:v>
      </x:c>
      <x:c r="D1071" s="19" t="str">
        <x:v>必需</x:v>
      </x:c>
      <x:c r="E1071" s="19" t="str">
        <x:v>形态级</x:v>
      </x:c>
      <x:c r="F1071" s="19" t="str">
        <x:v>可插拔模块主机侧金手指/电连接器</x:v>
      </x:c>
    </x:row>
    <x:row r="1072" ht="15" hidden="0" customHeight="1">
      <x:c r="A1072" s="19" t="str">
        <x:v>1600-O224-AOC-8E8O-SIPH</x:v>
      </x:c>
      <x:c r="B1072" s="19" t="str">
        <x:v>C057</x:v>
      </x:c>
      <x:c r="C1072" s="19" t="n">
        <x:v>1</x:v>
      </x:c>
      <x:c r="D1072" s="19" t="str">
        <x:v>系统配套</x:v>
      </x:c>
      <x:c r="E1072" s="19" t="str">
        <x:v>系统级</x:v>
      </x:c>
      <x:c r="F1072" s="19" t="str">
        <x:v>cage不属于模块内采购BOM</x:v>
      </x:c>
    </x:row>
    <x:row r="1073" ht="15" hidden="0" customHeight="1">
      <x:c r="A1073" s="19" t="str">
        <x:v>1600-O224-AOC-8E8O-SIPH</x:v>
      </x:c>
      <x:c r="B1073" s="19" t="str">
        <x:v>C007</x:v>
      </x:c>
      <x:c r="C1073" s="19" t="n">
        <x:v>1</x:v>
      </x:c>
      <x:c r="D1073" s="19" t="str">
        <x:v>必需</x:v>
      </x:c>
      <x:c r="E1073" s="19" t="str">
        <x:v>代表性</x:v>
      </x:c>
      <x:c r="F1073" s="19" t="str">
        <x:v>光引擎承载基板/Interposer</x:v>
      </x:c>
    </x:row>
    <x:row r="1074" ht="15" hidden="0" customHeight="1">
      <x:c r="A1074" s="19" t="str">
        <x:v>1600-O224-AOC-8E8O-SIPH</x:v>
      </x:c>
      <x:c r="B1074" s="19" t="str">
        <x:v>C008</x:v>
      </x:c>
      <x:c r="C1074" s="19" t="n">
        <x:v>1</x:v>
      </x:c>
      <x:c r="D1074" s="19" t="str">
        <x:v>必需</x:v>
      </x:c>
      <x:c r="E1074" s="19" t="str">
        <x:v>代表性</x:v>
      </x:c>
      <x:c r="F1074" s="19" t="str">
        <x:v>数量按功耗域，不等于精确颗数</x:v>
      </x:c>
    </x:row>
    <x:row r="1075" ht="15" hidden="0" customHeight="1">
      <x:c r="A1075" s="19" t="str">
        <x:v>1600-O224-AOC-8E8O-SIPH</x:v>
      </x:c>
      <x:c r="B1075" s="19" t="str">
        <x:v>C009</x:v>
      </x:c>
      <x:c r="C1075" s="19" t="n">
        <x:v>1</x:v>
      </x:c>
      <x:c r="D1075" s="19" t="str">
        <x:v>必需</x:v>
      </x:c>
      <x:c r="E1075" s="19" t="str">
        <x:v>管理接口</x:v>
      </x:c>
      <x:c r="F1075" s="19" t="str">
        <x:v>可插拔模块使用CMIS管理</x:v>
      </x:c>
    </x:row>
    <x:row r="1076" ht="15" hidden="0" customHeight="1">
      <x:c r="A1076" s="19" t="str">
        <x:v>1600-O224-AOC-8E8O-SIPH</x:v>
      </x:c>
      <x:c r="B1076" s="19" t="str">
        <x:v>C010</x:v>
      </x:c>
      <x:c r="C1076" s="19" t="n">
        <x:v>1</x:v>
      </x:c>
      <x:c r="D1076" s="19" t="str">
        <x:v>按实现</x:v>
      </x:c>
      <x:c r="E1076" s="19" t="str">
        <x:v>代表性</x:v>
      </x:c>
      <x:c r="F1076" s="19" t="str">
        <x:v>模块控制与校准</x:v>
      </x:c>
    </x:row>
    <x:row r="1077" ht="15" hidden="0" customHeight="1">
      <x:c r="A1077" s="19" t="str">
        <x:v>1600-O224-AOC-8E8O-SIPH</x:v>
      </x:c>
      <x:c r="B1077" s="19" t="str">
        <x:v>C058</x:v>
      </x:c>
      <x:c r="C1077" s="19" t="n">
        <x:v>1</x:v>
      </x:c>
      <x:c r="D1077" s="19" t="str">
        <x:v>按实现</x:v>
      </x:c>
      <x:c r="E1077" s="19" t="str">
        <x:v>时钟架构</x:v>
      </x:c>
      <x:c r="F1077" s="19" t="str">
        <x:v>可由主机提供REFCLK或使用模块内时钟器件</x:v>
      </x:c>
    </x:row>
    <x:row r="1078" ht="15" hidden="0" customHeight="1">
      <x:c r="A1078" s="19" t="str">
        <x:v>1600-O224-AOC-8E8O-SIPH</x:v>
      </x:c>
      <x:c r="B1078" s="19" t="str">
        <x:v>C059</x:v>
      </x:c>
      <x:c r="C1078" s="19" t="n">
        <x:v>1</x:v>
      </x:c>
      <x:c r="D1078" s="19" t="str">
        <x:v>必需/可集成</x:v>
      </x:c>
      <x:c r="E1078" s="19" t="str">
        <x:v>监控功能</x:v>
      </x:c>
      <x:c r="F1078" s="19" t="str">
        <x:v>CMIS/控制系统温度监测</x:v>
      </x:c>
    </x:row>
    <x:row r="1079" ht="15" hidden="0" customHeight="1">
      <x:c r="A1079" s="19" t="str">
        <x:v>1600-O224-AOC-8E8O-SIPH</x:v>
      </x:c>
      <x:c r="B1079" s="19" t="str">
        <x:v>C060</x:v>
      </x:c>
      <x:c r="C1079" s="19" t="n">
        <x:v>1</x:v>
      </x:c>
      <x:c r="D1079" s="19" t="str">
        <x:v>必需</x:v>
      </x:c>
      <x:c r="E1079" s="19" t="str">
        <x:v>器件组</x:v>
      </x:c>
      <x:c r="F1079" s="19" t="str">
        <x:v>R/C/L数量不按lane数表示</x:v>
      </x:c>
    </x:row>
    <x:row r="1080" ht="15" hidden="0" customHeight="1">
      <x:c r="A1080" s="19" t="str">
        <x:v>1600-O224-AOC-8E8O-SIPH</x:v>
      </x:c>
      <x:c r="B1080" s="19" t="str">
        <x:v>C062</x:v>
      </x:c>
      <x:c r="C1080" s="19" t="n">
        <x:v>1</x:v>
      </x:c>
      <x:c r="D1080" s="19" t="str">
        <x:v>按封装</x:v>
      </x:c>
      <x:c r="E1080" s="19" t="str">
        <x:v>互连工艺</x:v>
      </x:c>
      <x:c r="F1080" s="19" t="str">
        <x:v>flip-chip平台使用</x:v>
      </x:c>
    </x:row>
    <x:row r="1081" ht="15" hidden="0" customHeight="1">
      <x:c r="A1081" s="19" t="str">
        <x:v>1600-O224-AOC-8E8O-SIPH</x:v>
      </x:c>
      <x:c r="B1081" s="19" t="str">
        <x:v>C063</x:v>
      </x:c>
      <x:c r="C1081" s="19" t="n">
        <x:v>1</x:v>
      </x:c>
      <x:c r="D1081" s="19" t="str">
        <x:v>按封装</x:v>
      </x:c>
      <x:c r="E1081" s="19" t="str">
        <x:v>互连工艺</x:v>
      </x:c>
      <x:c r="F1081" s="19" t="str">
        <x:v>wire/ribbon bond平台使用</x:v>
      </x:c>
    </x:row>
    <x:row r="1082" ht="15" hidden="0" customHeight="1">
      <x:c r="A1082" s="19" t="str">
        <x:v>1600-O224-AOC-8E8O-SIPH</x:v>
      </x:c>
      <x:c r="B1082" s="19" t="str">
        <x:v>C014</x:v>
      </x:c>
      <x:c r="C1082" s="19" t="n">
        <x:v>8</x:v>
      </x:c>
      <x:c r="D1082" s="19" t="str">
        <x:v>必需</x:v>
      </x:c>
      <x:c r="E1082" s="19" t="str">
        <x:v>功能通道数</x:v>
      </x:c>
      <x:c r="F1082" s="19" t="str">
        <x:v>可能为阵列/多通道die，非精确封装颗数</x:v>
      </x:c>
    </x:row>
    <x:row r="1083" ht="15" hidden="0" customHeight="1">
      <x:c r="A1083" s="19" t="str">
        <x:v>1600-O224-AOC-8E8O-SIPH</x:v>
      </x:c>
      <x:c r="B1083" s="19" t="str">
        <x:v>C015</x:v>
      </x:c>
      <x:c r="C1083" s="19" t="n">
        <x:v>8</x:v>
      </x:c>
      <x:c r="D1083" s="19" t="str">
        <x:v>必需</x:v>
      </x:c>
      <x:c r="E1083" s="19" t="str">
        <x:v>功能通道数</x:v>
      </x:c>
      <x:c r="F1083" s="19" t="str">
        <x:v>可能为阵列/多通道die，非精确封装颗数</x:v>
      </x:c>
    </x:row>
    <x:row r="1084" ht="15" hidden="0" customHeight="1">
      <x:c r="A1084" s="19" t="str">
        <x:v>1600-O224-AOC-8E8O-SIPH</x:v>
      </x:c>
      <x:c r="B1084" s="19" t="str">
        <x:v>C025</x:v>
      </x:c>
      <x:c r="C1084" s="19" t="n">
        <x:v>1</x:v>
      </x:c>
      <x:c r="D1084" s="19" t="str">
        <x:v>必需</x:v>
      </x:c>
      <x:c r="E1084" s="19" t="str">
        <x:v>PIC级</x:v>
      </x:c>
      <x:c r="F1084" s="19" t="str">
        <x:v>具体是否MZM或MRR需供应商证据</x:v>
      </x:c>
    </x:row>
    <x:row r="1085" ht="15" hidden="0" customHeight="1">
      <x:c r="A1085" s="19" t="str">
        <x:v>1600-O224-AOC-8E8O-SIPH</x:v>
      </x:c>
      <x:c r="B1085" s="19" t="str">
        <x:v>C026</x:v>
      </x:c>
      <x:c r="C1085" s="19" t="n">
        <x:v>8</x:v>
      </x:c>
      <x:c r="D1085" s="19" t="str">
        <x:v>代表性</x:v>
      </x:c>
      <x:c r="E1085" s="19" t="str">
        <x:v>微结构</x:v>
      </x:c>
      <x:c r="F1085" s="19" t="str">
        <x:v>默认以MZM表示，若厂商披露MRR应改用C027</x:v>
      </x:c>
    </x:row>
    <x:row r="1086" ht="15" hidden="0" customHeight="1">
      <x:c r="A1086" s="19" t="str">
        <x:v>1600-O224-AOC-8E8O-SIPH</x:v>
      </x:c>
      <x:c r="B1086" s="19" t="str">
        <x:v>C028</x:v>
      </x:c>
      <x:c r="C1086" s="19" t="n">
        <x:v>8</x:v>
      </x:c>
      <x:c r="D1086" s="19" t="str">
        <x:v>内嵌</x:v>
      </x:c>
      <x:c r="E1086" s="19" t="str">
        <x:v>微结构</x:v>
      </x:c>
      <x:c r="F1086" s="19" t="str">
        <x:v>相移器</x:v>
      </x:c>
    </x:row>
    <x:row r="1087" ht="15" hidden="0" customHeight="1">
      <x:c r="A1087" s="19" t="str">
        <x:v>1600-O224-AOC-8E8O-SIPH</x:v>
      </x:c>
      <x:c r="B1087" s="19" t="str">
        <x:v>C029</x:v>
      </x:c>
      <x:c r="C1087" s="19" t="n">
        <x:v>8</x:v>
      </x:c>
      <x:c r="D1087" s="19" t="str">
        <x:v>内嵌</x:v>
      </x:c>
      <x:c r="E1087" s="19" t="str">
        <x:v>微结构</x:v>
      </x:c>
      <x:c r="F1087" s="19" t="str">
        <x:v>片上光路</x:v>
      </x:c>
    </x:row>
    <x:row r="1088" ht="15" hidden="0" customHeight="1">
      <x:c r="A1088" s="19" t="str">
        <x:v>1600-O224-AOC-8E8O-SIPH</x:v>
      </x:c>
      <x:c r="B1088" s="19" t="str">
        <x:v>C064</x:v>
      </x:c>
      <x:c r="C1088" s="19" t="n">
        <x:v>1</x:v>
      </x:c>
      <x:c r="D1088" s="19" t="str">
        <x:v>按实现</x:v>
      </x:c>
      <x:c r="E1088" s="19" t="str">
        <x:v>微结构</x:v>
      </x:c>
      <x:c r="F1088" s="19" t="str">
        <x:v>偏振管理</x:v>
      </x:c>
    </x:row>
    <x:row r="1089" ht="15" hidden="0" customHeight="1">
      <x:c r="A1089" s="19" t="str">
        <x:v>1600-O224-AOC-8E8O-SIPH</x:v>
      </x:c>
      <x:c r="B1089" s="19" t="str">
        <x:v>C065</x:v>
      </x:c>
      <x:c r="C1089" s="19" t="n">
        <x:v>1</x:v>
      </x:c>
      <x:c r="D1089" s="19" t="str">
        <x:v>按实现</x:v>
      </x:c>
      <x:c r="E1089" s="19" t="str">
        <x:v>微结构</x:v>
      </x:c>
      <x:c r="F1089" s="19" t="str">
        <x:v>抽光监控</x:v>
      </x:c>
    </x:row>
    <x:row r="1090" ht="15" hidden="0" customHeight="1">
      <x:c r="A1090" s="19" t="str">
        <x:v>1600-O224-AOC-8E8O-SIPH</x:v>
      </x:c>
      <x:c r="B1090" s="19" t="str">
        <x:v>C066</x:v>
      </x:c>
      <x:c r="C1090" s="19" t="n">
        <x:v>1</x:v>
      </x:c>
      <x:c r="D1090" s="19" t="str">
        <x:v>按实现</x:v>
      </x:c>
      <x:c r="E1090" s="19" t="str">
        <x:v>微结构</x:v>
      </x:c>
      <x:c r="F1090" s="19" t="str">
        <x:v>微环/AWG/滤波结构热调谐</x:v>
      </x:c>
    </x:row>
    <x:row r="1091" ht="15" hidden="0" customHeight="1">
      <x:c r="A1091" s="19" t="str">
        <x:v>1600-O224-AOC-8E8O-SIPH</x:v>
      </x:c>
      <x:c r="B1091" s="19" t="str">
        <x:v>C030</x:v>
      </x:c>
      <x:c r="C1091" s="19" t="n">
        <x:v>8</x:v>
      </x:c>
      <x:c r="D1091" s="19" t="str">
        <x:v>必需</x:v>
      </x:c>
      <x:c r="E1091" s="19" t="str">
        <x:v>光通道</x:v>
      </x:c>
      <x:c r="F1091" s="19" t="str">
        <x:v>Ge/Si PIN</x:v>
      </x:c>
    </x:row>
    <x:row r="1092" ht="15" hidden="0" customHeight="1">
      <x:c r="A1092" s="19" t="str">
        <x:v>1600-O224-AOC-8E8O-SIPH</x:v>
      </x:c>
      <x:c r="B1092" s="19" t="str">
        <x:v>C039</x:v>
      </x:c>
      <x:c r="C1092" s="19" t="n">
        <x:v>8</x:v>
      </x:c>
      <x:c r="D1092" s="19" t="str">
        <x:v>二选一</x:v>
      </x:c>
      <x:c r="E1092" s="19" t="str">
        <x:v>耦合方式</x:v>
      </x:c>
      <x:c r="F1092" s="19" t="str">
        <x:v>与边缘耦合器二选一或混用</x:v>
      </x:c>
    </x:row>
    <x:row r="1093" ht="15" hidden="0" customHeight="1">
      <x:c r="A1093" s="19" t="str">
        <x:v>1600-O224-AOC-8E8O-SIPH</x:v>
      </x:c>
      <x:c r="B1093" s="19" t="str">
        <x:v>C040</x:v>
      </x:c>
      <x:c r="C1093" s="19" t="n">
        <x:v>8</x:v>
      </x:c>
      <x:c r="D1093" s="19" t="str">
        <x:v>二选一</x:v>
      </x:c>
      <x:c r="E1093" s="19" t="str">
        <x:v>耦合方式</x:v>
      </x:c>
      <x:c r="F1093" s="19" t="str">
        <x:v>与光栅耦合器二选一或混用</x:v>
      </x:c>
    </x:row>
    <x:row r="1094" ht="15" hidden="0" customHeight="1">
      <x:c r="A1094" s="19" t="str">
        <x:v>1600-O224-AOC-8E8O-SIPH</x:v>
      </x:c>
      <x:c r="B1094" s="19" t="str">
        <x:v>C023</x:v>
      </x:c>
      <x:c r="C1094" s="19" t="n">
        <x:v>1</x:v>
      </x:c>
      <x:c r="D1094" s="19" t="str">
        <x:v>必需</x:v>
      </x:c>
      <x:c r="E1094" s="19" t="str">
        <x:v>光源级</x:v>
      </x:c>
      <x:c r="F1094" s="19" t="str">
        <x:v>可为多波长/多激光阵列</x:v>
      </x:c>
    </x:row>
    <x:row r="1095" ht="15" hidden="0" customHeight="1">
      <x:c r="A1095" s="19" t="str">
        <x:v>1600-O224-AOC-8E8O-SIPH</x:v>
      </x:c>
      <x:c r="B1095" s="19" t="str">
        <x:v>C022</x:v>
      </x:c>
      <x:c r="C1095" s="19" t="n">
        <x:v>1</x:v>
      </x:c>
      <x:c r="D1095" s="19" t="str">
        <x:v>内嵌</x:v>
      </x:c>
      <x:c r="E1095" s="19" t="str">
        <x:v>微结构</x:v>
      </x:c>
      <x:c r="F1095" s="19" t="str">
        <x:v>CW DFB内部光栅</x:v>
      </x:c>
    </x:row>
    <x:row r="1096" ht="15" hidden="0" customHeight="1">
      <x:c r="A1096" s="19" t="str">
        <x:v>1600-O224-AOC-8E8O-SIPH</x:v>
      </x:c>
      <x:c r="B1096" s="19" t="str">
        <x:v>C049</x:v>
      </x:c>
      <x:c r="C1096" s="19" t="n">
        <x:v>8</x:v>
      </x:c>
      <x:c r="D1096" s="19" t="str">
        <x:v>必需</x:v>
      </x:c>
      <x:c r="E1096" s="19" t="str">
        <x:v>光纤通道</x:v>
      </x:c>
      <x:c r="F1096" s="19" t="str">
        <x:v>SMF/MMF依方案</x:v>
      </x:c>
    </x:row>
    <x:row r="1097" ht="15" hidden="0" customHeight="1">
      <x:c r="A1097" s="19"/>
      <x:c r="B1097" s="19"/>
      <x:c r="C1097" s="19"/>
      <x:c r="D1097" s="19"/>
      <x:c r="E1097" s="19"/>
      <x:c r="F1097" s="19"/>
    </x:row>
    <x:row r="1098" ht="15" hidden="0" customHeight="1">
      <x:c r="A1098" s="19"/>
      <x:c r="B1098" s="19"/>
      <x:c r="C1098" s="19"/>
      <x:c r="D1098" s="19"/>
      <x:c r="E1098" s="19"/>
      <x:c r="F1098" s="19"/>
    </x:row>
    <x:row r="1099" ht="15" hidden="0" customHeight="1">
      <x:c r="A1099" s="19"/>
      <x:c r="B1099" s="19"/>
      <x:c r="C1099" s="19"/>
      <x:c r="D1099" s="19"/>
      <x:c r="E1099" s="19"/>
      <x:c r="F1099" s="19"/>
    </x:row>
    <x:row r="1100" ht="15" hidden="0" customHeight="1">
      <x:c r="A1100" s="19" t="str">
        <x:v>1600-O224-AOC-8E8O-SIPH</x:v>
      </x:c>
      <x:c r="B1100" s="19" t="str">
        <x:v>C037</x:v>
      </x:c>
      <x:c r="C1100" s="19" t="n">
        <x:v>8</x:v>
      </x:c>
      <x:c r="D1100" s="19" t="str">
        <x:v>按实现</x:v>
      </x:c>
      <x:c r="E1100" s="19" t="str">
        <x:v>光通道</x:v>
      </x:c>
      <x:c r="F1100" s="19" t="str">
        <x:v>自由空间/阵列耦合时使用</x:v>
      </x:c>
    </x:row>
    <x:row r="1101" ht="15" hidden="0" customHeight="1">
      <x:c r="A1101" s="19" t="str">
        <x:v>1600-O224-AOC-8E8O-SIPH</x:v>
      </x:c>
      <x:c r="B1101" s="19" t="str">
        <x:v>C038</x:v>
      </x:c>
      <x:c r="C1101" s="19" t="n">
        <x:v>8</x:v>
      </x:c>
      <x:c r="D1101" s="19" t="str">
        <x:v>按实现</x:v>
      </x:c>
      <x:c r="E1101" s="19" t="str">
        <x:v>光通道</x:v>
      </x:c>
      <x:c r="F1101" s="19" t="str">
        <x:v>FAU可能按阵列封装，不等于单根数量</x:v>
      </x:c>
    </x:row>
    <x:row r="1102" ht="15" hidden="0" customHeight="1">
      <x:c r="A1102" s="19" t="str">
        <x:v>1600-O224-AOC-8E8O-SIPH</x:v>
      </x:c>
      <x:c r="B1102" s="19" t="str">
        <x:v>C053</x:v>
      </x:c>
      <x:c r="C1102" s="19" t="n">
        <x:v>1</x:v>
      </x:c>
      <x:c r="D1102" s="19" t="str">
        <x:v>必需</x:v>
      </x:c>
      <x:c r="E1102" s="19" t="str">
        <x:v>热管理</x:v>
      </x:c>
      <x:c r="F1102" s="19" t="str">
        <x:v>TIM</x:v>
      </x:c>
    </x:row>
    <x:row r="1103" ht="15" hidden="0" customHeight="1">
      <x:c r="A1103" s="19" t="str">
        <x:v>1600-O224-AOC-8E8O-SIPH</x:v>
      </x:c>
      <x:c r="B1103" s="19" t="str">
        <x:v>C054</x:v>
      </x:c>
      <x:c r="C1103" s="19" t="n">
        <x:v>1</x:v>
      </x:c>
      <x:c r="D1103" s="19" t="str">
        <x:v>按实现</x:v>
      </x:c>
      <x:c r="E1103" s="19" t="str">
        <x:v>封装</x:v>
      </x:c>
      <x:c r="F1103" s="19" t="str">
        <x:v>光学胶/底填</x:v>
      </x:c>
    </x:row>
    <x:row r="1104" ht="15" hidden="0" customHeight="1">
      <x:c r="A1104" s="19" t="str">
        <x:v>3200-CPO-8DR4-INT</x:v>
      </x:c>
      <x:c r="B1104" s="19" t="str">
        <x:v>C001</x:v>
      </x:c>
      <x:c r="C1104" s="19" t="n">
        <x:v>1</x:v>
      </x:c>
      <x:c r="D1104" s="19" t="str">
        <x:v>必需</x:v>
      </x:c>
      <x:c r="E1104" s="19" t="str">
        <x:v>形态级</x:v>
      </x:c>
      <x:c r="F1104" s="19" t="str">
        <x:v>CPO Module</x:v>
      </x:c>
    </x:row>
    <x:row r="1105" ht="15" hidden="0" customHeight="1">
      <x:c r="A1105" s="19" t="str">
        <x:v>3200-CPO-8DR4-INT</x:v>
      </x:c>
      <x:c r="B1105" s="19" t="str">
        <x:v>C002</x:v>
      </x:c>
      <x:c r="C1105" s="19" t="n">
        <x:v>1</x:v>
      </x:c>
      <x:c r="D1105" s="19" t="str">
        <x:v>必需</x:v>
      </x:c>
      <x:c r="E1105" s="19" t="str">
        <x:v>形态级</x:v>
      </x:c>
      <x:c r="F1105" s="19" t="str">
        <x:v>散热能力需按功耗校核</x:v>
      </x:c>
    </x:row>
    <x:row r="1106" ht="15" hidden="0" customHeight="1">
      <x:c r="A1106" s="19" t="str">
        <x:v>3200-CPO-8DR4-INT</x:v>
      </x:c>
      <x:c r="B1106" s="19" t="str">
        <x:v>C003</x:v>
      </x:c>
      <x:c r="C1106" s="19" t="n">
        <x:v>1</x:v>
      </x:c>
      <x:c r="D1106" s="19" t="str">
        <x:v>不适用</x:v>
      </x:c>
      <x:c r="E1106" s="19" t="str">
        <x:v>形态级</x:v>
      </x:c>
      <x:c r="F1106" s="19" t="str">
        <x:v>CPO无传统前面板模块拉环</x:v>
      </x:c>
    </x:row>
    <x:row r="1107" ht="15" hidden="0" customHeight="1">
      <x:c r="A1107" s="19" t="str">
        <x:v>3200-CPO-8DR4-INT</x:v>
      </x:c>
      <x:c r="B1107" s="19" t="str">
        <x:v>C004</x:v>
      </x:c>
      <x:c r="C1107" s="19" t="n">
        <x:v>1</x:v>
      </x:c>
      <x:c r="D1107" s="19" t="str">
        <x:v>必需</x:v>
      </x:c>
      <x:c r="E1107" s="19" t="str">
        <x:v>代表性</x:v>
      </x:c>
      <x:c r="F1107" s="19" t="str">
        <x:v>EMI屏蔽结构依外壳设计</x:v>
      </x:c>
    </x:row>
    <x:row r="1108" ht="15" hidden="0" customHeight="1">
      <x:c r="A1108" s="19" t="str">
        <x:v>3200-CPO-8DR4-INT</x:v>
      </x:c>
      <x:c r="B1108" s="19" t="str">
        <x:v>C005</x:v>
      </x:c>
      <x:c r="C1108" s="19" t="n">
        <x:v>1</x:v>
      </x:c>
      <x:c r="D1108" s="19" t="str">
        <x:v>可选/系统级</x:v>
      </x:c>
      <x:c r="E1108" s="19" t="str">
        <x:v>代表性</x:v>
      </x:c>
      <x:c r="F1108" s="19" t="str">
        <x:v>CPO可采用封装基板+系统PCB</x:v>
      </x:c>
    </x:row>
    <x:row r="1109" ht="15" hidden="0" customHeight="1">
      <x:c r="A1109" s="19" t="str">
        <x:v>3200-CPO-8DR4-INT</x:v>
      </x:c>
      <x:c r="B1109" s="19" t="str">
        <x:v>C056</x:v>
      </x:c>
      <x:c r="C1109" s="19" t="n">
        <x:v>1</x:v>
      </x:c>
      <x:c r="D1109" s="19" t="str">
        <x:v>不适用</x:v>
      </x:c>
      <x:c r="E1109" s="19" t="str">
        <x:v>形态级</x:v>
      </x:c>
      <x:c r="F1109" s="19" t="str">
        <x:v>可插拔模块主机侧金手指/电连接器</x:v>
      </x:c>
    </x:row>
    <x:row r="1110" ht="15" hidden="0" customHeight="1">
      <x:c r="A1110" s="19" t="str">
        <x:v>3200-CPO-8DR4-INT</x:v>
      </x:c>
      <x:c r="B1110" s="19" t="str">
        <x:v>C057</x:v>
      </x:c>
      <x:c r="C1110" s="19" t="n">
        <x:v>1</x:v>
      </x:c>
      <x:c r="D1110" s="19" t="str">
        <x:v>不适用</x:v>
      </x:c>
      <x:c r="E1110" s="19" t="str">
        <x:v>系统级</x:v>
      </x:c>
      <x:c r="F1110" s="19" t="str">
        <x:v>cage不属于模块内采购BOM</x:v>
      </x:c>
    </x:row>
    <x:row r="1111" ht="15" hidden="0" customHeight="1">
      <x:c r="A1111" s="19" t="str">
        <x:v>3200-CPO-8DR4-INT</x:v>
      </x:c>
      <x:c r="B1111" s="19" t="str">
        <x:v>C007</x:v>
      </x:c>
      <x:c r="C1111" s="19" t="n">
        <x:v>1</x:v>
      </x:c>
      <x:c r="D1111" s="19" t="str">
        <x:v>必需</x:v>
      </x:c>
      <x:c r="E1111" s="19" t="str">
        <x:v>代表性</x:v>
      </x:c>
      <x:c r="F1111" s="19" t="str">
        <x:v>光引擎承载基板/Interposer</x:v>
      </x:c>
    </x:row>
    <x:row r="1112" ht="15" hidden="0" customHeight="1">
      <x:c r="A1112" s="19" t="str">
        <x:v>3200-CPO-8DR4-INT</x:v>
      </x:c>
      <x:c r="B1112" s="19" t="str">
        <x:v>C008</x:v>
      </x:c>
      <x:c r="C1112" s="19" t="n">
        <x:v>1</x:v>
      </x:c>
      <x:c r="D1112" s="19" t="str">
        <x:v>必需</x:v>
      </x:c>
      <x:c r="E1112" s="19" t="str">
        <x:v>代表性</x:v>
      </x:c>
      <x:c r="F1112" s="19" t="str">
        <x:v>数量按功耗域，不等于精确颗数</x:v>
      </x:c>
    </x:row>
    <x:row r="1113" ht="15" hidden="0" customHeight="1">
      <x:c r="A1113" s="19" t="str">
        <x:v>3200-CPO-8DR4-INT</x:v>
      </x:c>
      <x:c r="B1113" s="19" t="str">
        <x:v>C009</x:v>
      </x:c>
      <x:c r="C1113" s="19" t="n">
        <x:v>1</x:v>
      </x:c>
      <x:c r="D1113" s="19" t="str">
        <x:v>按实现</x:v>
      </x:c>
      <x:c r="E1113" s="19" t="str">
        <x:v>管理接口</x:v>
      </x:c>
      <x:c r="F1113" s="19" t="str">
        <x:v>可插拔模块使用CMIS管理</x:v>
      </x:c>
    </x:row>
    <x:row r="1114" ht="15" hidden="0" customHeight="1">
      <x:c r="A1114" s="19" t="str">
        <x:v>3200-CPO-8DR4-INT</x:v>
      </x:c>
      <x:c r="B1114" s="19" t="str">
        <x:v>C010</x:v>
      </x:c>
      <x:c r="C1114" s="19" t="n">
        <x:v>1</x:v>
      </x:c>
      <x:c r="D1114" s="19" t="str">
        <x:v>按实现</x:v>
      </x:c>
      <x:c r="E1114" s="19" t="str">
        <x:v>代表性</x:v>
      </x:c>
      <x:c r="F1114" s="19" t="str">
        <x:v>模块控制与校准</x:v>
      </x:c>
    </x:row>
    <x:row r="1115" ht="15" hidden="0" customHeight="1">
      <x:c r="A1115" s="19" t="str">
        <x:v>3200-CPO-8DR4-INT</x:v>
      </x:c>
      <x:c r="B1115" s="19" t="str">
        <x:v>C058</x:v>
      </x:c>
      <x:c r="C1115" s="19" t="n">
        <x:v>1</x:v>
      </x:c>
      <x:c r="D1115" s="19" t="str">
        <x:v>按实现</x:v>
      </x:c>
      <x:c r="E1115" s="19" t="str">
        <x:v>时钟架构</x:v>
      </x:c>
      <x:c r="F1115" s="19" t="str">
        <x:v>可由主机提供REFCLK或使用模块内时钟器件</x:v>
      </x:c>
    </x:row>
    <x:row r="1116" ht="15" hidden="0" customHeight="1">
      <x:c r="A1116" s="19" t="str">
        <x:v>3200-CPO-8DR4-INT</x:v>
      </x:c>
      <x:c r="B1116" s="19" t="str">
        <x:v>C059</x:v>
      </x:c>
      <x:c r="C1116" s="19" t="n">
        <x:v>1</x:v>
      </x:c>
      <x:c r="D1116" s="19" t="str">
        <x:v>必需/可集成</x:v>
      </x:c>
      <x:c r="E1116" s="19" t="str">
        <x:v>监控功能</x:v>
      </x:c>
      <x:c r="F1116" s="19" t="str">
        <x:v>CMIS/控制系统温度监测</x:v>
      </x:c>
    </x:row>
    <x:row r="1117" ht="15" hidden="0" customHeight="1">
      <x:c r="A1117" s="19" t="str">
        <x:v>3200-CPO-8DR4-INT</x:v>
      </x:c>
      <x:c r="B1117" s="19" t="str">
        <x:v>C060</x:v>
      </x:c>
      <x:c r="C1117" s="19" t="n">
        <x:v>1</x:v>
      </x:c>
      <x:c r="D1117" s="19" t="str">
        <x:v>必需</x:v>
      </x:c>
      <x:c r="E1117" s="19" t="str">
        <x:v>器件组</x:v>
      </x:c>
      <x:c r="F1117" s="19" t="str">
        <x:v>R/C/L数量不按lane数表示</x:v>
      </x:c>
    </x:row>
    <x:row r="1118" ht="15" hidden="0" customHeight="1">
      <x:c r="A1118" s="19" t="str">
        <x:v>3200-CPO-8DR4-INT</x:v>
      </x:c>
      <x:c r="B1118" s="19" t="str">
        <x:v>C062</x:v>
      </x:c>
      <x:c r="C1118" s="19" t="n">
        <x:v>1</x:v>
      </x:c>
      <x:c r="D1118" s="19" t="str">
        <x:v>按封装</x:v>
      </x:c>
      <x:c r="E1118" s="19" t="str">
        <x:v>互连工艺</x:v>
      </x:c>
      <x:c r="F1118" s="19" t="str">
        <x:v>flip-chip平台使用</x:v>
      </x:c>
    </x:row>
    <x:row r="1119" ht="15" hidden="0" customHeight="1">
      <x:c r="A1119" s="19" t="str">
        <x:v>3200-CPO-8DR4-INT</x:v>
      </x:c>
      <x:c r="B1119" s="19" t="str">
        <x:v>C063</x:v>
      </x:c>
      <x:c r="C1119" s="19" t="n">
        <x:v>1</x:v>
      </x:c>
      <x:c r="D1119" s="19" t="str">
        <x:v>按封装</x:v>
      </x:c>
      <x:c r="E1119" s="19" t="str">
        <x:v>互连工艺</x:v>
      </x:c>
      <x:c r="F1119" s="19" t="str">
        <x:v>wire/ribbon bond平台使用</x:v>
      </x:c>
    </x:row>
    <x:row r="1120" ht="15" hidden="0" customHeight="1">
      <x:c r="A1120" s="19" t="str">
        <x:v>3200-CPO-8DR4-INT</x:v>
      </x:c>
      <x:c r="B1120" s="19" t="str">
        <x:v>C011</x:v>
      </x:c>
      <x:c r="C1120" s="19" t="n">
        <x:v>1</x:v>
      </x:c>
      <x:c r="D1120" s="19" t="str">
        <x:v>必需</x:v>
      </x:c>
      <x:c r="E1120" s="19" t="str">
        <x:v>架构级</x:v>
      </x:c>
      <x:c r="F1120" s="19" t="str">
        <x:v>含DSP、Driver、TIA</x:v>
      </x:c>
    </x:row>
    <x:row r="1121" ht="15" hidden="0" customHeight="1">
      <x:c r="A1121" s="19" t="str">
        <x:v>3200-CPO-8DR4-INT</x:v>
      </x:c>
      <x:c r="B1121" s="19" t="str">
        <x:v>C012</x:v>
      </x:c>
      <x:c r="C1121" s="19" t="n">
        <x:v>1</x:v>
      </x:c>
      <x:c r="D1121" s="19" t="str">
        <x:v>必需</x:v>
      </x:c>
      <x:c r="E1121" s="19" t="str">
        <x:v>通道级</x:v>
      </x:c>
      <x:c r="F1121" s="19" t="str">
        <x:v>32×112G XSR→32×100G</x:v>
      </x:c>
    </x:row>
    <x:row r="1122" ht="15" hidden="0" customHeight="1">
      <x:c r="A1122" s="19" t="str">
        <x:v>3200-CPO-8DR4-INT</x:v>
      </x:c>
      <x:c r="B1122" s="19" t="str">
        <x:v>C014</x:v>
      </x:c>
      <x:c r="C1122" s="19" t="n">
        <x:v>32</x:v>
      </x:c>
      <x:c r="D1122" s="19" t="str">
        <x:v>必需</x:v>
      </x:c>
      <x:c r="E1122" s="19" t="str">
        <x:v>功能通道数</x:v>
      </x:c>
      <x:c r="F1122" s="19" t="str">
        <x:v>可能为阵列/多通道die，非精确封装颗数</x:v>
      </x:c>
    </x:row>
    <x:row r="1123" ht="15" hidden="0" customHeight="1">
      <x:c r="A1123" s="19" t="str">
        <x:v>3200-CPO-8DR4-INT</x:v>
      </x:c>
      <x:c r="B1123" s="19" t="str">
        <x:v>C015</x:v>
      </x:c>
      <x:c r="C1123" s="19" t="n">
        <x:v>32</x:v>
      </x:c>
      <x:c r="D1123" s="19" t="str">
        <x:v>必需</x:v>
      </x:c>
      <x:c r="E1123" s="19" t="str">
        <x:v>功能通道数</x:v>
      </x:c>
      <x:c r="F1123" s="19" t="str">
        <x:v>可能为阵列/多通道die，非精确封装颗数</x:v>
      </x:c>
    </x:row>
    <x:row r="1124" ht="15" hidden="0" customHeight="1">
      <x:c r="A1124" s="19" t="str">
        <x:v>3200-CPO-8DR4-INT</x:v>
      </x:c>
      <x:c r="B1124" s="19" t="str">
        <x:v>C025</x:v>
      </x:c>
      <x:c r="C1124" s="19" t="n">
        <x:v>1</x:v>
      </x:c>
      <x:c r="D1124" s="19" t="str">
        <x:v>必需</x:v>
      </x:c>
      <x:c r="E1124" s="19" t="str">
        <x:v>PIC级</x:v>
      </x:c>
      <x:c r="F1124" s="19" t="str">
        <x:v>具体是否MZM或MRR需供应商证据</x:v>
      </x:c>
    </x:row>
    <x:row r="1125" ht="15" hidden="0" customHeight="1">
      <x:c r="A1125" s="19" t="str">
        <x:v>3200-CPO-8DR4-INT</x:v>
      </x:c>
      <x:c r="B1125" s="19" t="str">
        <x:v>C026</x:v>
      </x:c>
      <x:c r="C1125" s="19" t="n">
        <x:v>32</x:v>
      </x:c>
      <x:c r="D1125" s="19" t="str">
        <x:v>代表性</x:v>
      </x:c>
      <x:c r="E1125" s="19" t="str">
        <x:v>微结构</x:v>
      </x:c>
      <x:c r="F1125" s="19" t="str">
        <x:v>默认以MZM表示，若厂商披露MRR应改用C027</x:v>
      </x:c>
    </x:row>
    <x:row r="1126" ht="15" hidden="0" customHeight="1">
      <x:c r="A1126" s="19" t="str">
        <x:v>3200-CPO-8DR4-INT</x:v>
      </x:c>
      <x:c r="B1126" s="19" t="str">
        <x:v>C028</x:v>
      </x:c>
      <x:c r="C1126" s="19" t="n">
        <x:v>32</x:v>
      </x:c>
      <x:c r="D1126" s="19" t="str">
        <x:v>内嵌</x:v>
      </x:c>
      <x:c r="E1126" s="19" t="str">
        <x:v>微结构</x:v>
      </x:c>
      <x:c r="F1126" s="19" t="str">
        <x:v>相移器</x:v>
      </x:c>
    </x:row>
    <x:row r="1127" ht="15" hidden="0" customHeight="1">
      <x:c r="A1127" s="19" t="str">
        <x:v>3200-CPO-8DR4-INT</x:v>
      </x:c>
      <x:c r="B1127" s="19" t="str">
        <x:v>C029</x:v>
      </x:c>
      <x:c r="C1127" s="19" t="n">
        <x:v>32</x:v>
      </x:c>
      <x:c r="D1127" s="19" t="str">
        <x:v>内嵌</x:v>
      </x:c>
      <x:c r="E1127" s="19" t="str">
        <x:v>微结构</x:v>
      </x:c>
      <x:c r="F1127" s="19" t="str">
        <x:v>片上光路</x:v>
      </x:c>
    </x:row>
    <x:row r="1128" ht="15" hidden="0" customHeight="1">
      <x:c r="A1128" s="19" t="str">
        <x:v>3200-CPO-8DR4-INT</x:v>
      </x:c>
      <x:c r="B1128" s="19" t="str">
        <x:v>C064</x:v>
      </x:c>
      <x:c r="C1128" s="19" t="n">
        <x:v>1</x:v>
      </x:c>
      <x:c r="D1128" s="19" t="str">
        <x:v>按实现</x:v>
      </x:c>
      <x:c r="E1128" s="19" t="str">
        <x:v>微结构</x:v>
      </x:c>
      <x:c r="F1128" s="19" t="str">
        <x:v>偏振管理</x:v>
      </x:c>
    </x:row>
    <x:row r="1129" ht="15" hidden="0" customHeight="1">
      <x:c r="A1129" s="19" t="str">
        <x:v>3200-CPO-8DR4-INT</x:v>
      </x:c>
      <x:c r="B1129" s="19" t="str">
        <x:v>C065</x:v>
      </x:c>
      <x:c r="C1129" s="19" t="n">
        <x:v>1</x:v>
      </x:c>
      <x:c r="D1129" s="19" t="str">
        <x:v>按实现</x:v>
      </x:c>
      <x:c r="E1129" s="19" t="str">
        <x:v>微结构</x:v>
      </x:c>
      <x:c r="F1129" s="19" t="str">
        <x:v>抽光监控</x:v>
      </x:c>
    </x:row>
    <x:row r="1130" ht="15" hidden="0" customHeight="1">
      <x:c r="A1130" s="19" t="str">
        <x:v>3200-CPO-8DR4-INT</x:v>
      </x:c>
      <x:c r="B1130" s="19" t="str">
        <x:v>C066</x:v>
      </x:c>
      <x:c r="C1130" s="19" t="n">
        <x:v>1</x:v>
      </x:c>
      <x:c r="D1130" s="19" t="str">
        <x:v>按实现</x:v>
      </x:c>
      <x:c r="E1130" s="19" t="str">
        <x:v>微结构</x:v>
      </x:c>
      <x:c r="F1130" s="19" t="str">
        <x:v>微环/AWG/滤波结构热调谐</x:v>
      </x:c>
    </x:row>
    <x:row r="1131" ht="15" hidden="0" customHeight="1">
      <x:c r="A1131" s="19" t="str">
        <x:v>3200-CPO-8DR4-INT</x:v>
      </x:c>
      <x:c r="B1131" s="19" t="str">
        <x:v>C030</x:v>
      </x:c>
      <x:c r="C1131" s="19" t="n">
        <x:v>32</x:v>
      </x:c>
      <x:c r="D1131" s="19" t="str">
        <x:v>必需</x:v>
      </x:c>
      <x:c r="E1131" s="19" t="str">
        <x:v>光通道</x:v>
      </x:c>
      <x:c r="F1131" s="19" t="str">
        <x:v>PIN/GeSi</x:v>
      </x:c>
    </x:row>
    <x:row r="1132" ht="15" hidden="0" customHeight="1">
      <x:c r="A1132" s="19" t="str">
        <x:v>3200-CPO-8DR4-INT</x:v>
      </x:c>
      <x:c r="B1132" s="19" t="str">
        <x:v>C039</x:v>
      </x:c>
      <x:c r="C1132" s="19" t="n">
        <x:v>32</x:v>
      </x:c>
      <x:c r="D1132" s="19" t="str">
        <x:v>二选一</x:v>
      </x:c>
      <x:c r="E1132" s="19" t="str">
        <x:v>耦合方式</x:v>
      </x:c>
      <x:c r="F1132" s="19" t="str">
        <x:v>与边缘耦合器二选一或混用</x:v>
      </x:c>
    </x:row>
    <x:row r="1133" ht="15" hidden="0" customHeight="1">
      <x:c r="A1133" s="19" t="str">
        <x:v>3200-CPO-8DR4-INT</x:v>
      </x:c>
      <x:c r="B1133" s="19" t="str">
        <x:v>C040</x:v>
      </x:c>
      <x:c r="C1133" s="19" t="n">
        <x:v>32</x:v>
      </x:c>
      <x:c r="D1133" s="19" t="str">
        <x:v>二选一</x:v>
      </x:c>
      <x:c r="E1133" s="19" t="str">
        <x:v>耦合方式</x:v>
      </x:c>
      <x:c r="F1133" s="19" t="str">
        <x:v>与光栅耦合器二选一或混用</x:v>
      </x:c>
    </x:row>
    <x:row r="1134" ht="15" hidden="0" customHeight="1">
      <x:c r="A1134" s="19" t="str">
        <x:v>3200-CPO-8DR4-INT</x:v>
      </x:c>
      <x:c r="B1134" s="19" t="str">
        <x:v>C023</x:v>
      </x:c>
      <x:c r="C1134" s="19" t="n">
        <x:v>1</x:v>
      </x:c>
      <x:c r="D1134" s="19" t="str">
        <x:v>必需</x:v>
      </x:c>
      <x:c r="E1134" s="19" t="str">
        <x:v>光源级</x:v>
      </x:c>
      <x:c r="F1134" s="19" t="str">
        <x:v>可为多波长/多激光阵列</x:v>
      </x:c>
    </x:row>
    <x:row r="1135" ht="15" hidden="0" customHeight="1">
      <x:c r="A1135" s="19" t="str">
        <x:v>3200-CPO-8DR4-INT</x:v>
      </x:c>
      <x:c r="B1135" s="19" t="str">
        <x:v>C022</x:v>
      </x:c>
      <x:c r="C1135" s="19" t="n">
        <x:v>1</x:v>
      </x:c>
      <x:c r="D1135" s="19" t="str">
        <x:v>内嵌</x:v>
      </x:c>
      <x:c r="E1135" s="19" t="str">
        <x:v>微结构</x:v>
      </x:c>
      <x:c r="F1135" s="19" t="str">
        <x:v>CW DFB内部光栅</x:v>
      </x:c>
    </x:row>
    <x:row r="1136" ht="15" hidden="0" customHeight="1">
      <x:c r="A1136" s="19" t="str">
        <x:v>3200-CPO-8DR4-INT</x:v>
      </x:c>
      <x:c r="B1136" s="19" t="str">
        <x:v>C049</x:v>
      </x:c>
      <x:c r="C1136" s="19" t="n">
        <x:v>32</x:v>
      </x:c>
      <x:c r="D1136" s="19" t="str">
        <x:v>必需</x:v>
      </x:c>
      <x:c r="E1136" s="19" t="str">
        <x:v>光纤通道</x:v>
      </x:c>
      <x:c r="F1136" s="19" t="str">
        <x:v>PSM SMF</x:v>
      </x:c>
    </x:row>
    <x:row r="1137" ht="15" hidden="0" customHeight="1">
      <x:c r="A1137" s="19"/>
      <x:c r="B1137" s="19"/>
      <x:c r="C1137" s="19"/>
      <x:c r="D1137" s="19"/>
      <x:c r="E1137" s="19"/>
      <x:c r="F1137" s="19"/>
    </x:row>
    <x:row r="1138" ht="15" hidden="0" customHeight="1">
      <x:c r="A1138" s="19"/>
      <x:c r="B1138" s="19"/>
      <x:c r="C1138" s="19"/>
      <x:c r="D1138" s="19"/>
      <x:c r="E1138" s="19"/>
      <x:c r="F1138" s="19"/>
    </x:row>
    <x:row r="1139" ht="15" hidden="0" customHeight="1">
      <x:c r="A1139" s="19"/>
      <x:c r="B1139" s="19"/>
      <x:c r="C1139" s="19"/>
      <x:c r="D1139" s="19"/>
      <x:c r="E1139" s="19"/>
      <x:c r="F1139" s="19"/>
    </x:row>
    <x:row r="1140" ht="15" hidden="0" customHeight="1">
      <x:c r="A1140" s="19" t="str">
        <x:v>3200-CPO-8DR4-INT</x:v>
      </x:c>
      <x:c r="B1140" s="19" t="str">
        <x:v>C037</x:v>
      </x:c>
      <x:c r="C1140" s="19" t="n">
        <x:v>32</x:v>
      </x:c>
      <x:c r="D1140" s="19" t="str">
        <x:v>按实现</x:v>
      </x:c>
      <x:c r="E1140" s="19" t="str">
        <x:v>光通道</x:v>
      </x:c>
      <x:c r="F1140" s="19" t="str">
        <x:v>自由空间/阵列耦合时使用</x:v>
      </x:c>
    </x:row>
    <x:row r="1141" ht="15" hidden="0" customHeight="1">
      <x:c r="A1141" s="19" t="str">
        <x:v>3200-CPO-8DR4-INT</x:v>
      </x:c>
      <x:c r="B1141" s="19" t="str">
        <x:v>C038</x:v>
      </x:c>
      <x:c r="C1141" s="19" t="n">
        <x:v>32</x:v>
      </x:c>
      <x:c r="D1141" s="19" t="str">
        <x:v>按实现</x:v>
      </x:c>
      <x:c r="E1141" s="19" t="str">
        <x:v>光通道</x:v>
      </x:c>
      <x:c r="F1141" s="19" t="str">
        <x:v>FAU可能按阵列封装，不等于单根数量</x:v>
      </x:c>
    </x:row>
    <x:row r="1142" ht="15" hidden="0" customHeight="1">
      <x:c r="A1142" s="19" t="str">
        <x:v>3200-CPO-8DR4-INT</x:v>
      </x:c>
      <x:c r="B1142" s="19" t="str">
        <x:v>C044</x:v>
      </x:c>
      <x:c r="C1142" s="19" t="n">
        <x:v>1</x:v>
      </x:c>
      <x:c r="D1142" s="19" t="str">
        <x:v>候选</x:v>
      </x:c>
      <x:c r="E1142" s="19" t="str">
        <x:v>标准未规定</x:v>
      </x:c>
      <x:c r="F1142" s="19" t="str">
        <x:v>IA未规定线路侧连接器；32 Tx/Rx fiber pairs</x:v>
      </x:c>
    </x:row>
    <x:row r="1143" ht="15" hidden="0" customHeight="1">
      <x:c r="A1143" s="19" t="str">
        <x:v>3200-CPO-8DR4-INT</x:v>
      </x:c>
      <x:c r="B1143" s="19" t="str">
        <x:v>C047</x:v>
      </x:c>
      <x:c r="C1143" s="19" t="n">
        <x:v>1</x:v>
      </x:c>
      <x:c r="D1143" s="19" t="str">
        <x:v>候选</x:v>
      </x:c>
      <x:c r="E1143" s="19" t="str">
        <x:v>标准未规定</x:v>
      </x:c>
      <x:c r="F1143" s="19" t="str">
        <x:v>IA未规定线路侧连接器；32 Tx/Rx fiber pairs</x:v>
      </x:c>
    </x:row>
    <x:row r="1144" ht="15" hidden="0" customHeight="1">
      <x:c r="A1144" s="19" t="str">
        <x:v>3200-CPO-8DR4-INT</x:v>
      </x:c>
      <x:c r="B1144" s="19" t="str">
        <x:v>C048</x:v>
      </x:c>
      <x:c r="C1144" s="19" t="n">
        <x:v>1</x:v>
      </x:c>
      <x:c r="D1144" s="19" t="str">
        <x:v>候选</x:v>
      </x:c>
      <x:c r="E1144" s="19" t="str">
        <x:v>标准未规定</x:v>
      </x:c>
      <x:c r="F1144" s="19" t="str">
        <x:v>IA未规定线路侧连接器；32 Tx/Rx fiber pairs</x:v>
      </x:c>
    </x:row>
    <x:row r="1145" ht="15" hidden="0" customHeight="1">
      <x:c r="A1145" s="19" t="str">
        <x:v>3200-CPO-8DR4-INT</x:v>
      </x:c>
      <x:c r="B1145" s="19" t="str">
        <x:v>C053</x:v>
      </x:c>
      <x:c r="C1145" s="19" t="n">
        <x:v>1</x:v>
      </x:c>
      <x:c r="D1145" s="19" t="str">
        <x:v>必需</x:v>
      </x:c>
      <x:c r="E1145" s="19" t="str">
        <x:v>热管理</x:v>
      </x:c>
      <x:c r="F1145" s="19" t="str">
        <x:v>TIM</x:v>
      </x:c>
    </x:row>
    <x:row r="1146" ht="15" hidden="0" customHeight="1">
      <x:c r="A1146" s="19" t="str">
        <x:v>3200-CPO-8DR4-INT</x:v>
      </x:c>
      <x:c r="B1146" s="19" t="str">
        <x:v>C054</x:v>
      </x:c>
      <x:c r="C1146" s="19" t="n">
        <x:v>1</x:v>
      </x:c>
      <x:c r="D1146" s="19" t="str">
        <x:v>按实现</x:v>
      </x:c>
      <x:c r="E1146" s="19" t="str">
        <x:v>封装</x:v>
      </x:c>
      <x:c r="F1146" s="19" t="str">
        <x:v>光学胶/底填</x:v>
      </x:c>
    </x:row>
    <x:row r="1147" ht="15" hidden="0" customHeight="1">
      <x:c r="A1147" s="19" t="str">
        <x:v>3200-CPO-8DR4-EXT-8PMF</x:v>
      </x:c>
      <x:c r="B1147" s="19" t="str">
        <x:v>C001</x:v>
      </x:c>
      <x:c r="C1147" s="19" t="n">
        <x:v>1</x:v>
      </x:c>
      <x:c r="D1147" s="19" t="str">
        <x:v>必需</x:v>
      </x:c>
      <x:c r="E1147" s="19" t="str">
        <x:v>形态级</x:v>
      </x:c>
      <x:c r="F1147" s="19" t="str">
        <x:v>CPO Module</x:v>
      </x:c>
    </x:row>
    <x:row r="1148" ht="15" hidden="0" customHeight="1">
      <x:c r="A1148" s="19" t="str">
        <x:v>3200-CPO-8DR4-EXT-8PMF</x:v>
      </x:c>
      <x:c r="B1148" s="19" t="str">
        <x:v>C002</x:v>
      </x:c>
      <x:c r="C1148" s="19" t="n">
        <x:v>1</x:v>
      </x:c>
      <x:c r="D1148" s="19" t="str">
        <x:v>必需</x:v>
      </x:c>
      <x:c r="E1148" s="19" t="str">
        <x:v>形态级</x:v>
      </x:c>
      <x:c r="F1148" s="19" t="str">
        <x:v>散热能力需按功耗校核</x:v>
      </x:c>
    </x:row>
    <x:row r="1149" ht="15" hidden="0" customHeight="1">
      <x:c r="A1149" s="19" t="str">
        <x:v>3200-CPO-8DR4-EXT-8PMF</x:v>
      </x:c>
      <x:c r="B1149" s="19" t="str">
        <x:v>C003</x:v>
      </x:c>
      <x:c r="C1149" s="19" t="n">
        <x:v>1</x:v>
      </x:c>
      <x:c r="D1149" s="19" t="str">
        <x:v>不适用</x:v>
      </x:c>
      <x:c r="E1149" s="19" t="str">
        <x:v>形态级</x:v>
      </x:c>
      <x:c r="F1149" s="19" t="str">
        <x:v>CPO无传统前面板模块拉环</x:v>
      </x:c>
    </x:row>
    <x:row r="1150" ht="15" hidden="0" customHeight="1">
      <x:c r="A1150" s="19" t="str">
        <x:v>3200-CPO-8DR4-EXT-8PMF</x:v>
      </x:c>
      <x:c r="B1150" s="19" t="str">
        <x:v>C004</x:v>
      </x:c>
      <x:c r="C1150" s="19" t="n">
        <x:v>1</x:v>
      </x:c>
      <x:c r="D1150" s="19" t="str">
        <x:v>必需</x:v>
      </x:c>
      <x:c r="E1150" s="19" t="str">
        <x:v>代表性</x:v>
      </x:c>
      <x:c r="F1150" s="19" t="str">
        <x:v>EMI屏蔽结构依外壳设计</x:v>
      </x:c>
    </x:row>
    <x:row r="1151" ht="15" hidden="0" customHeight="1">
      <x:c r="A1151" s="19" t="str">
        <x:v>3200-CPO-8DR4-EXT-8PMF</x:v>
      </x:c>
      <x:c r="B1151" s="19" t="str">
        <x:v>C005</x:v>
      </x:c>
      <x:c r="C1151" s="19" t="n">
        <x:v>1</x:v>
      </x:c>
      <x:c r="D1151" s="19" t="str">
        <x:v>可选/系统级</x:v>
      </x:c>
      <x:c r="E1151" s="19" t="str">
        <x:v>代表性</x:v>
      </x:c>
      <x:c r="F1151" s="19" t="str">
        <x:v>CPO可采用封装基板+系统PCB</x:v>
      </x:c>
    </x:row>
    <x:row r="1152" ht="15" hidden="0" customHeight="1">
      <x:c r="A1152" s="19" t="str">
        <x:v>3200-CPO-8DR4-EXT-8PMF</x:v>
      </x:c>
      <x:c r="B1152" s="19" t="str">
        <x:v>C056</x:v>
      </x:c>
      <x:c r="C1152" s="19" t="n">
        <x:v>1</x:v>
      </x:c>
      <x:c r="D1152" s="19" t="str">
        <x:v>不适用</x:v>
      </x:c>
      <x:c r="E1152" s="19" t="str">
        <x:v>形态级</x:v>
      </x:c>
      <x:c r="F1152" s="19" t="str">
        <x:v>可插拔模块主机侧金手指/电连接器</x:v>
      </x:c>
    </x:row>
    <x:row r="1153" ht="15" hidden="0" customHeight="1">
      <x:c r="A1153" s="19" t="str">
        <x:v>3200-CPO-8DR4-EXT-8PMF</x:v>
      </x:c>
      <x:c r="B1153" s="19" t="str">
        <x:v>C057</x:v>
      </x:c>
      <x:c r="C1153" s="19" t="n">
        <x:v>1</x:v>
      </x:c>
      <x:c r="D1153" s="19" t="str">
        <x:v>不适用</x:v>
      </x:c>
      <x:c r="E1153" s="19" t="str">
        <x:v>系统级</x:v>
      </x:c>
      <x:c r="F1153" s="19" t="str">
        <x:v>cage不属于模块内采购BOM</x:v>
      </x:c>
    </x:row>
    <x:row r="1154" ht="15" hidden="0" customHeight="1">
      <x:c r="A1154" s="19" t="str">
        <x:v>3200-CPO-8DR4-EXT-8PMF</x:v>
      </x:c>
      <x:c r="B1154" s="19" t="str">
        <x:v>C007</x:v>
      </x:c>
      <x:c r="C1154" s="19" t="n">
        <x:v>1</x:v>
      </x:c>
      <x:c r="D1154" s="19" t="str">
        <x:v>必需</x:v>
      </x:c>
      <x:c r="E1154" s="19" t="str">
        <x:v>代表性</x:v>
      </x:c>
      <x:c r="F1154" s="19" t="str">
        <x:v>光引擎承载基板/Interposer</x:v>
      </x:c>
    </x:row>
    <x:row r="1155" ht="15" hidden="0" customHeight="1">
      <x:c r="A1155" s="19" t="str">
        <x:v>3200-CPO-8DR4-EXT-8PMF</x:v>
      </x:c>
      <x:c r="B1155" s="19" t="str">
        <x:v>C008</x:v>
      </x:c>
      <x:c r="C1155" s="19" t="n">
        <x:v>1</x:v>
      </x:c>
      <x:c r="D1155" s="19" t="str">
        <x:v>必需</x:v>
      </x:c>
      <x:c r="E1155" s="19" t="str">
        <x:v>代表性</x:v>
      </x:c>
      <x:c r="F1155" s="19" t="str">
        <x:v>数量按功耗域，不等于精确颗数</x:v>
      </x:c>
    </x:row>
    <x:row r="1156" ht="15" hidden="0" customHeight="1">
      <x:c r="A1156" s="19" t="str">
        <x:v>3200-CPO-8DR4-EXT-8PMF</x:v>
      </x:c>
      <x:c r="B1156" s="19" t="str">
        <x:v>C009</x:v>
      </x:c>
      <x:c r="C1156" s="19" t="n">
        <x:v>1</x:v>
      </x:c>
      <x:c r="D1156" s="19" t="str">
        <x:v>按实现</x:v>
      </x:c>
      <x:c r="E1156" s="19" t="str">
        <x:v>管理接口</x:v>
      </x:c>
      <x:c r="F1156" s="19" t="str">
        <x:v>可插拔模块使用CMIS管理</x:v>
      </x:c>
    </x:row>
    <x:row r="1157" ht="15" hidden="0" customHeight="1">
      <x:c r="A1157" s="19" t="str">
        <x:v>3200-CPO-8DR4-EXT-8PMF</x:v>
      </x:c>
      <x:c r="B1157" s="19" t="str">
        <x:v>C010</x:v>
      </x:c>
      <x:c r="C1157" s="19" t="n">
        <x:v>1</x:v>
      </x:c>
      <x:c r="D1157" s="19" t="str">
        <x:v>按实现</x:v>
      </x:c>
      <x:c r="E1157" s="19" t="str">
        <x:v>代表性</x:v>
      </x:c>
      <x:c r="F1157" s="19" t="str">
        <x:v>模块控制与校准</x:v>
      </x:c>
    </x:row>
    <x:row r="1158" ht="15" hidden="0" customHeight="1">
      <x:c r="A1158" s="19" t="str">
        <x:v>3200-CPO-8DR4-EXT-8PMF</x:v>
      </x:c>
      <x:c r="B1158" s="19" t="str">
        <x:v>C058</x:v>
      </x:c>
      <x:c r="C1158" s="19" t="n">
        <x:v>1</x:v>
      </x:c>
      <x:c r="D1158" s="19" t="str">
        <x:v>按实现</x:v>
      </x:c>
      <x:c r="E1158" s="19" t="str">
        <x:v>时钟架构</x:v>
      </x:c>
      <x:c r="F1158" s="19" t="str">
        <x:v>可由主机提供REFCLK或使用模块内时钟器件</x:v>
      </x:c>
    </x:row>
    <x:row r="1159" ht="15" hidden="0" customHeight="1">
      <x:c r="A1159" s="19" t="str">
        <x:v>3200-CPO-8DR4-EXT-8PMF</x:v>
      </x:c>
      <x:c r="B1159" s="19" t="str">
        <x:v>C059</x:v>
      </x:c>
      <x:c r="C1159" s="19" t="n">
        <x:v>1</x:v>
      </x:c>
      <x:c r="D1159" s="19" t="str">
        <x:v>必需/可集成</x:v>
      </x:c>
      <x:c r="E1159" s="19" t="str">
        <x:v>监控功能</x:v>
      </x:c>
      <x:c r="F1159" s="19" t="str">
        <x:v>CMIS/控制系统温度监测</x:v>
      </x:c>
    </x:row>
    <x:row r="1160" ht="15" hidden="0" customHeight="1">
      <x:c r="A1160" s="19" t="str">
        <x:v>3200-CPO-8DR4-EXT-8PMF</x:v>
      </x:c>
      <x:c r="B1160" s="19" t="str">
        <x:v>C060</x:v>
      </x:c>
      <x:c r="C1160" s="19" t="n">
        <x:v>1</x:v>
      </x:c>
      <x:c r="D1160" s="19" t="str">
        <x:v>必需</x:v>
      </x:c>
      <x:c r="E1160" s="19" t="str">
        <x:v>器件组</x:v>
      </x:c>
      <x:c r="F1160" s="19" t="str">
        <x:v>R/C/L数量不按lane数表示</x:v>
      </x:c>
    </x:row>
    <x:row r="1161" ht="15" hidden="0" customHeight="1">
      <x:c r="A1161" s="19" t="str">
        <x:v>3200-CPO-8DR4-EXT-8PMF</x:v>
      </x:c>
      <x:c r="B1161" s="19" t="str">
        <x:v>C062</x:v>
      </x:c>
      <x:c r="C1161" s="19" t="n">
        <x:v>1</x:v>
      </x:c>
      <x:c r="D1161" s="19" t="str">
        <x:v>按封装</x:v>
      </x:c>
      <x:c r="E1161" s="19" t="str">
        <x:v>互连工艺</x:v>
      </x:c>
      <x:c r="F1161" s="19" t="str">
        <x:v>flip-chip平台使用</x:v>
      </x:c>
    </x:row>
    <x:row r="1162" ht="15" hidden="0" customHeight="1">
      <x:c r="A1162" s="19" t="str">
        <x:v>3200-CPO-8DR4-EXT-8PMF</x:v>
      </x:c>
      <x:c r="B1162" s="19" t="str">
        <x:v>C063</x:v>
      </x:c>
      <x:c r="C1162" s="19" t="n">
        <x:v>1</x:v>
      </x:c>
      <x:c r="D1162" s="19" t="str">
        <x:v>按封装</x:v>
      </x:c>
      <x:c r="E1162" s="19" t="str">
        <x:v>互连工艺</x:v>
      </x:c>
      <x:c r="F1162" s="19" t="str">
        <x:v>wire/ribbon bond平台使用</x:v>
      </x:c>
    </x:row>
    <x:row r="1163" ht="15" hidden="0" customHeight="1">
      <x:c r="A1163" s="19" t="str">
        <x:v>3200-CPO-8DR4-EXT-8PMF</x:v>
      </x:c>
      <x:c r="B1163" s="19" t="str">
        <x:v>C011</x:v>
      </x:c>
      <x:c r="C1163" s="19" t="n">
        <x:v>1</x:v>
      </x:c>
      <x:c r="D1163" s="19" t="str">
        <x:v>必需</x:v>
      </x:c>
      <x:c r="E1163" s="19" t="str">
        <x:v>架构级</x:v>
      </x:c>
      <x:c r="F1163" s="19" t="str">
        <x:v>含DSP、Driver、TIA</x:v>
      </x:c>
    </x:row>
    <x:row r="1164" ht="15" hidden="0" customHeight="1">
      <x:c r="A1164" s="19" t="str">
        <x:v>3200-CPO-8DR4-EXT-8PMF</x:v>
      </x:c>
      <x:c r="B1164" s="19" t="str">
        <x:v>C012</x:v>
      </x:c>
      <x:c r="C1164" s="19" t="n">
        <x:v>1</x:v>
      </x:c>
      <x:c r="D1164" s="19" t="str">
        <x:v>必需</x:v>
      </x:c>
      <x:c r="E1164" s="19" t="str">
        <x:v>通道级</x:v>
      </x:c>
      <x:c r="F1164" s="19" t="str">
        <x:v>32×112G XSR→32×100G</x:v>
      </x:c>
    </x:row>
    <x:row r="1165" ht="15" hidden="0" customHeight="1">
      <x:c r="A1165" s="19" t="str">
        <x:v>3200-CPO-8DR4-EXT-8PMF</x:v>
      </x:c>
      <x:c r="B1165" s="19" t="str">
        <x:v>C014</x:v>
      </x:c>
      <x:c r="C1165" s="19" t="n">
        <x:v>32</x:v>
      </x:c>
      <x:c r="D1165" s="19" t="str">
        <x:v>必需</x:v>
      </x:c>
      <x:c r="E1165" s="19" t="str">
        <x:v>功能通道数</x:v>
      </x:c>
      <x:c r="F1165" s="19" t="str">
        <x:v>可能为阵列/多通道die，非精确封装颗数</x:v>
      </x:c>
    </x:row>
    <x:row r="1166" ht="15" hidden="0" customHeight="1">
      <x:c r="A1166" s="19" t="str">
        <x:v>3200-CPO-8DR4-EXT-8PMF</x:v>
      </x:c>
      <x:c r="B1166" s="19" t="str">
        <x:v>C015</x:v>
      </x:c>
      <x:c r="C1166" s="19" t="n">
        <x:v>32</x:v>
      </x:c>
      <x:c r="D1166" s="19" t="str">
        <x:v>必需</x:v>
      </x:c>
      <x:c r="E1166" s="19" t="str">
        <x:v>功能通道数</x:v>
      </x:c>
      <x:c r="F1166" s="19" t="str">
        <x:v>可能为阵列/多通道die，非精确封装颗数</x:v>
      </x:c>
    </x:row>
    <x:row r="1167" ht="15" hidden="0" customHeight="1">
      <x:c r="A1167" s="19" t="str">
        <x:v>3200-CPO-8DR4-EXT-8PMF</x:v>
      </x:c>
      <x:c r="B1167" s="19" t="str">
        <x:v>C025</x:v>
      </x:c>
      <x:c r="C1167" s="19" t="n">
        <x:v>1</x:v>
      </x:c>
      <x:c r="D1167" s="19" t="str">
        <x:v>必需</x:v>
      </x:c>
      <x:c r="E1167" s="19" t="str">
        <x:v>PIC级</x:v>
      </x:c>
      <x:c r="F1167" s="19" t="str">
        <x:v>具体是否MZM或MRR需供应商证据</x:v>
      </x:c>
    </x:row>
    <x:row r="1168" ht="15" hidden="0" customHeight="1">
      <x:c r="A1168" s="19" t="str">
        <x:v>3200-CPO-8DR4-EXT-8PMF</x:v>
      </x:c>
      <x:c r="B1168" s="19" t="str">
        <x:v>C026</x:v>
      </x:c>
      <x:c r="C1168" s="19" t="n">
        <x:v>32</x:v>
      </x:c>
      <x:c r="D1168" s="19" t="str">
        <x:v>代表性</x:v>
      </x:c>
      <x:c r="E1168" s="19" t="str">
        <x:v>微结构</x:v>
      </x:c>
      <x:c r="F1168" s="19" t="str">
        <x:v>默认以MZM表示，若厂商披露MRR应改用C027</x:v>
      </x:c>
    </x:row>
    <x:row r="1169" ht="15" hidden="0" customHeight="1">
      <x:c r="A1169" s="19" t="str">
        <x:v>3200-CPO-8DR4-EXT-8PMF</x:v>
      </x:c>
      <x:c r="B1169" s="19" t="str">
        <x:v>C028</x:v>
      </x:c>
      <x:c r="C1169" s="19" t="n">
        <x:v>32</x:v>
      </x:c>
      <x:c r="D1169" s="19" t="str">
        <x:v>内嵌</x:v>
      </x:c>
      <x:c r="E1169" s="19" t="str">
        <x:v>微结构</x:v>
      </x:c>
      <x:c r="F1169" s="19" t="str">
        <x:v>相移器</x:v>
      </x:c>
    </x:row>
    <x:row r="1170" ht="15" hidden="0" customHeight="1">
      <x:c r="A1170" s="19" t="str">
        <x:v>3200-CPO-8DR4-EXT-8PMF</x:v>
      </x:c>
      <x:c r="B1170" s="19" t="str">
        <x:v>C029</x:v>
      </x:c>
      <x:c r="C1170" s="19" t="n">
        <x:v>32</x:v>
      </x:c>
      <x:c r="D1170" s="19" t="str">
        <x:v>内嵌</x:v>
      </x:c>
      <x:c r="E1170" s="19" t="str">
        <x:v>微结构</x:v>
      </x:c>
      <x:c r="F1170" s="19" t="str">
        <x:v>片上光路</x:v>
      </x:c>
    </x:row>
    <x:row r="1171" ht="15" hidden="0" customHeight="1">
      <x:c r="A1171" s="19" t="str">
        <x:v>3200-CPO-8DR4-EXT-8PMF</x:v>
      </x:c>
      <x:c r="B1171" s="19" t="str">
        <x:v>C064</x:v>
      </x:c>
      <x:c r="C1171" s="19" t="n">
        <x:v>1</x:v>
      </x:c>
      <x:c r="D1171" s="19" t="str">
        <x:v>按实现</x:v>
      </x:c>
      <x:c r="E1171" s="19" t="str">
        <x:v>微结构</x:v>
      </x:c>
      <x:c r="F1171" s="19" t="str">
        <x:v>偏振管理</x:v>
      </x:c>
    </x:row>
    <x:row r="1172" ht="15" hidden="0" customHeight="1">
      <x:c r="A1172" s="19" t="str">
        <x:v>3200-CPO-8DR4-EXT-8PMF</x:v>
      </x:c>
      <x:c r="B1172" s="19" t="str">
        <x:v>C065</x:v>
      </x:c>
      <x:c r="C1172" s="19" t="n">
        <x:v>1</x:v>
      </x:c>
      <x:c r="D1172" s="19" t="str">
        <x:v>按实现</x:v>
      </x:c>
      <x:c r="E1172" s="19" t="str">
        <x:v>微结构</x:v>
      </x:c>
      <x:c r="F1172" s="19" t="str">
        <x:v>抽光监控</x:v>
      </x:c>
    </x:row>
    <x:row r="1173" ht="15" hidden="0" customHeight="1">
      <x:c r="A1173" s="19" t="str">
        <x:v>3200-CPO-8DR4-EXT-8PMF</x:v>
      </x:c>
      <x:c r="B1173" s="19" t="str">
        <x:v>C066</x:v>
      </x:c>
      <x:c r="C1173" s="19" t="n">
        <x:v>1</x:v>
      </x:c>
      <x:c r="D1173" s="19" t="str">
        <x:v>按实现</x:v>
      </x:c>
      <x:c r="E1173" s="19" t="str">
        <x:v>微结构</x:v>
      </x:c>
      <x:c r="F1173" s="19" t="str">
        <x:v>微环/AWG/滤波结构热调谐</x:v>
      </x:c>
    </x:row>
    <x:row r="1174" ht="15" hidden="0" customHeight="1">
      <x:c r="A1174" s="19" t="str">
        <x:v>3200-CPO-8DR4-EXT-8PMF</x:v>
      </x:c>
      <x:c r="B1174" s="19" t="str">
        <x:v>C030</x:v>
      </x:c>
      <x:c r="C1174" s="19" t="n">
        <x:v>32</x:v>
      </x:c>
      <x:c r="D1174" s="19" t="str">
        <x:v>必需</x:v>
      </x:c>
      <x:c r="E1174" s="19" t="str">
        <x:v>光通道</x:v>
      </x:c>
      <x:c r="F1174" s="19" t="str">
        <x:v>PIN/GeSi</x:v>
      </x:c>
    </x:row>
    <x:row r="1175" ht="15" hidden="0" customHeight="1">
      <x:c r="A1175" s="19" t="str">
        <x:v>3200-CPO-8DR4-EXT-8PMF</x:v>
      </x:c>
      <x:c r="B1175" s="19" t="str">
        <x:v>C039</x:v>
      </x:c>
      <x:c r="C1175" s="19" t="n">
        <x:v>32</x:v>
      </x:c>
      <x:c r="D1175" s="19" t="str">
        <x:v>二选一</x:v>
      </x:c>
      <x:c r="E1175" s="19" t="str">
        <x:v>耦合方式</x:v>
      </x:c>
      <x:c r="F1175" s="19" t="str">
        <x:v>与边缘耦合器二选一或混用</x:v>
      </x:c>
    </x:row>
    <x:row r="1176" ht="15" hidden="0" customHeight="1">
      <x:c r="A1176" s="19" t="str">
        <x:v>3200-CPO-8DR4-EXT-8PMF</x:v>
      </x:c>
      <x:c r="B1176" s="19" t="str">
        <x:v>C040</x:v>
      </x:c>
      <x:c r="C1176" s="19" t="n">
        <x:v>32</x:v>
      </x:c>
      <x:c r="D1176" s="19" t="str">
        <x:v>二选一</x:v>
      </x:c>
      <x:c r="E1176" s="19" t="str">
        <x:v>耦合方式</x:v>
      </x:c>
      <x:c r="F1176" s="19" t="str">
        <x:v>与光栅耦合器二选一或混用</x:v>
      </x:c>
    </x:row>
    <x:row r="1177" ht="15" hidden="0" customHeight="1">
      <x:c r="A1177" s="19" t="str">
        <x:v>3200-CPO-8DR4-EXT-8PMF</x:v>
      </x:c>
      <x:c r="B1177" s="19" t="str">
        <x:v>C024</x:v>
      </x:c>
      <x:c r="C1177" s="19" t="n">
        <x:v>1</x:v>
      </x:c>
      <x:c r="D1177" s="19" t="str">
        <x:v>必需</x:v>
      </x:c>
      <x:c r="E1177" s="19" t="str">
        <x:v>系统级</x:v>
      </x:c>
      <x:c r="F1177" s="19" t="str">
        <x:v>ELSFP/外置激光源</x:v>
      </x:c>
    </x:row>
    <x:row r="1178" ht="15" hidden="0" customHeight="1">
      <x:c r="A1178" s="19" t="str">
        <x:v>3200-CPO-8DR4-EXT-8PMF</x:v>
      </x:c>
      <x:c r="B1178" s="19" t="str">
        <x:v>C041</x:v>
      </x:c>
      <x:c r="C1178" s="19" t="n">
        <x:v>1</x:v>
      </x:c>
      <x:c r="D1178" s="19" t="str">
        <x:v>必需</x:v>
      </x:c>
      <x:c r="E1178" s="19" t="str">
        <x:v>系统级</x:v>
      </x:c>
      <x:c r="F1178" s="19" t="str">
        <x:v>激光功率分配</x:v>
      </x:c>
    </x:row>
    <x:row r="1179" ht="15" hidden="0" customHeight="1">
      <x:c r="A1179" s="19" t="str">
        <x:v>3200-CPO-8DR4-EXT-8PMF</x:v>
      </x:c>
      <x:c r="B1179" s="19" t="str">
        <x:v>C051</x:v>
      </x:c>
      <x:c r="C1179" s="19" t="n">
        <x:v>32</x:v>
      </x:c>
      <x:c r="D1179" s="19" t="str">
        <x:v>按实现</x:v>
      </x:c>
      <x:c r="E1179" s="19" t="str">
        <x:v>系统级</x:v>
      </x:c>
      <x:c r="F1179" s="19" t="str">
        <x:v>外置激光到PIC的偏振管理</x:v>
      </x:c>
    </x:row>
    <x:row r="1180" ht="15" hidden="0" customHeight="1">
      <x:c r="A1180" s="19" t="str">
        <x:v>3200-CPO-8DR4-EXT-8PMF</x:v>
      </x:c>
      <x:c r="B1180" s="19" t="str">
        <x:v>C049</x:v>
      </x:c>
      <x:c r="C1180" s="19" t="n">
        <x:v>32</x:v>
      </x:c>
      <x:c r="D1180" s="19" t="str">
        <x:v>必需</x:v>
      </x:c>
      <x:c r="E1180" s="19" t="str">
        <x:v>光纤通道</x:v>
      </x:c>
      <x:c r="F1180" s="19" t="str">
        <x:v>PSM SMF</x:v>
      </x:c>
    </x:row>
    <x:row r="1181" ht="15" hidden="0" customHeight="1">
      <x:c r="A1181" s="19"/>
      <x:c r="B1181" s="19"/>
      <x:c r="C1181" s="19"/>
      <x:c r="D1181" s="19"/>
      <x:c r="E1181" s="19"/>
      <x:c r="F1181" s="19"/>
    </x:row>
    <x:row r="1182" ht="15" hidden="0" customHeight="1">
      <x:c r="A1182" s="19"/>
      <x:c r="B1182" s="19"/>
      <x:c r="C1182" s="19"/>
      <x:c r="D1182" s="19"/>
      <x:c r="E1182" s="19"/>
      <x:c r="F1182" s="19"/>
    </x:row>
    <x:row r="1183" ht="15" hidden="0" customHeight="1">
      <x:c r="A1183" s="19"/>
      <x:c r="B1183" s="19"/>
      <x:c r="C1183" s="19"/>
      <x:c r="D1183" s="19"/>
      <x:c r="E1183" s="19"/>
      <x:c r="F1183" s="19"/>
    </x:row>
    <x:row r="1184" ht="15" hidden="0" customHeight="1">
      <x:c r="A1184" s="19" t="str">
        <x:v>3200-CPO-8DR4-EXT-8PMF</x:v>
      </x:c>
      <x:c r="B1184" s="19" t="str">
        <x:v>C037</x:v>
      </x:c>
      <x:c r="C1184" s="19" t="n">
        <x:v>32</x:v>
      </x:c>
      <x:c r="D1184" s="19" t="str">
        <x:v>按实现</x:v>
      </x:c>
      <x:c r="E1184" s="19" t="str">
        <x:v>光通道</x:v>
      </x:c>
      <x:c r="F1184" s="19" t="str">
        <x:v>自由空间/阵列耦合时使用</x:v>
      </x:c>
    </x:row>
    <x:row r="1185" ht="15" hidden="0" customHeight="1">
      <x:c r="A1185" s="19" t="str">
        <x:v>3200-CPO-8DR4-EXT-8PMF</x:v>
      </x:c>
      <x:c r="B1185" s="19" t="str">
        <x:v>C038</x:v>
      </x:c>
      <x:c r="C1185" s="19" t="n">
        <x:v>32</x:v>
      </x:c>
      <x:c r="D1185" s="19" t="str">
        <x:v>按实现</x:v>
      </x:c>
      <x:c r="E1185" s="19" t="str">
        <x:v>光通道</x:v>
      </x:c>
      <x:c r="F1185" s="19" t="str">
        <x:v>FAU可能按阵列封装，不等于单根数量</x:v>
      </x:c>
    </x:row>
    <x:row r="1186" ht="15" hidden="0" customHeight="1">
      <x:c r="A1186" s="19" t="str">
        <x:v>3200-CPO-8DR4-EXT-8PMF</x:v>
      </x:c>
      <x:c r="B1186" s="19" t="str">
        <x:v>C044</x:v>
      </x:c>
      <x:c r="C1186" s="19" t="n">
        <x:v>1</x:v>
      </x:c>
      <x:c r="D1186" s="19" t="str">
        <x:v>候选</x:v>
      </x:c>
      <x:c r="E1186" s="19" t="str">
        <x:v>标准未规定</x:v>
      </x:c>
      <x:c r="F1186" s="19" t="str">
        <x:v>IA未规定线路侧连接器；ELS输入8 PM fibers</x:v>
      </x:c>
    </x:row>
    <x:row r="1187" ht="15" hidden="0" customHeight="1">
      <x:c r="A1187" s="19" t="str">
        <x:v>3200-CPO-8DR4-EXT-8PMF</x:v>
      </x:c>
      <x:c r="B1187" s="19" t="str">
        <x:v>C047</x:v>
      </x:c>
      <x:c r="C1187" s="19" t="n">
        <x:v>1</x:v>
      </x:c>
      <x:c r="D1187" s="19" t="str">
        <x:v>候选</x:v>
      </x:c>
      <x:c r="E1187" s="19" t="str">
        <x:v>标准未规定</x:v>
      </x:c>
      <x:c r="F1187" s="19" t="str">
        <x:v>IA未规定线路侧连接器；ELS输入8 PM fibers</x:v>
      </x:c>
    </x:row>
    <x:row r="1188" ht="15" hidden="0" customHeight="1">
      <x:c r="A1188" s="19" t="str">
        <x:v>3200-CPO-8DR4-EXT-8PMF</x:v>
      </x:c>
      <x:c r="B1188" s="19" t="str">
        <x:v>C048</x:v>
      </x:c>
      <x:c r="C1188" s="19" t="n">
        <x:v>1</x:v>
      </x:c>
      <x:c r="D1188" s="19" t="str">
        <x:v>候选</x:v>
      </x:c>
      <x:c r="E1188" s="19" t="str">
        <x:v>标准未规定</x:v>
      </x:c>
      <x:c r="F1188" s="19" t="str">
        <x:v>IA未规定线路侧连接器；ELS输入8 PM fibers</x:v>
      </x:c>
    </x:row>
    <x:row r="1189" ht="15" hidden="0" customHeight="1">
      <x:c r="A1189" s="19" t="str">
        <x:v>3200-CPO-8DR4-EXT-8PMF</x:v>
      </x:c>
      <x:c r="B1189" s="19" t="str">
        <x:v>C053</x:v>
      </x:c>
      <x:c r="C1189" s="19" t="n">
        <x:v>1</x:v>
      </x:c>
      <x:c r="D1189" s="19" t="str">
        <x:v>必需</x:v>
      </x:c>
      <x:c r="E1189" s="19" t="str">
        <x:v>热管理</x:v>
      </x:c>
      <x:c r="F1189" s="19" t="str">
        <x:v>TIM</x:v>
      </x:c>
    </x:row>
    <x:row r="1190" ht="15" hidden="0" customHeight="1">
      <x:c r="A1190" s="19" t="str">
        <x:v>3200-CPO-8DR4-EXT-8PMF</x:v>
      </x:c>
      <x:c r="B1190" s="19" t="str">
        <x:v>C054</x:v>
      </x:c>
      <x:c r="C1190" s="19" t="n">
        <x:v>1</x:v>
      </x:c>
      <x:c r="D1190" s="19" t="str">
        <x:v>按实现</x:v>
      </x:c>
      <x:c r="E1190" s="19" t="str">
        <x:v>封装</x:v>
      </x:c>
      <x:c r="F1190" s="19" t="str">
        <x:v>光学胶/底填</x:v>
      </x:c>
    </x:row>
    <x:row r="1191" ht="15" hidden="0" customHeight="1">
      <x:c r="A1191" s="19" t="str">
        <x:v>3200-CPO-8DR4-EXT-4PMF</x:v>
      </x:c>
      <x:c r="B1191" s="19" t="str">
        <x:v>C001</x:v>
      </x:c>
      <x:c r="C1191" s="19" t="n">
        <x:v>1</x:v>
      </x:c>
      <x:c r="D1191" s="19" t="str">
        <x:v>必需</x:v>
      </x:c>
      <x:c r="E1191" s="19" t="str">
        <x:v>形态级</x:v>
      </x:c>
      <x:c r="F1191" s="19" t="str">
        <x:v>CPO Module</x:v>
      </x:c>
    </x:row>
    <x:row r="1192" ht="15" hidden="0" customHeight="1">
      <x:c r="A1192" s="19" t="str">
        <x:v>3200-CPO-8DR4-EXT-4PMF</x:v>
      </x:c>
      <x:c r="B1192" s="19" t="str">
        <x:v>C002</x:v>
      </x:c>
      <x:c r="C1192" s="19" t="n">
        <x:v>1</x:v>
      </x:c>
      <x:c r="D1192" s="19" t="str">
        <x:v>必需</x:v>
      </x:c>
      <x:c r="E1192" s="19" t="str">
        <x:v>形态级</x:v>
      </x:c>
      <x:c r="F1192" s="19" t="str">
        <x:v>散热能力需按功耗校核</x:v>
      </x:c>
    </x:row>
    <x:row r="1193" ht="15" hidden="0" customHeight="1">
      <x:c r="A1193" s="19" t="str">
        <x:v>3200-CPO-8DR4-EXT-4PMF</x:v>
      </x:c>
      <x:c r="B1193" s="19" t="str">
        <x:v>C003</x:v>
      </x:c>
      <x:c r="C1193" s="19" t="n">
        <x:v>1</x:v>
      </x:c>
      <x:c r="D1193" s="19" t="str">
        <x:v>不适用</x:v>
      </x:c>
      <x:c r="E1193" s="19" t="str">
        <x:v>形态级</x:v>
      </x:c>
      <x:c r="F1193" s="19" t="str">
        <x:v>CPO无传统前面板模块拉环</x:v>
      </x:c>
    </x:row>
    <x:row r="1194" ht="15" hidden="0" customHeight="1">
      <x:c r="A1194" s="19" t="str">
        <x:v>3200-CPO-8DR4-EXT-4PMF</x:v>
      </x:c>
      <x:c r="B1194" s="19" t="str">
        <x:v>C004</x:v>
      </x:c>
      <x:c r="C1194" s="19" t="n">
        <x:v>1</x:v>
      </x:c>
      <x:c r="D1194" s="19" t="str">
        <x:v>必需</x:v>
      </x:c>
      <x:c r="E1194" s="19" t="str">
        <x:v>代表性</x:v>
      </x:c>
      <x:c r="F1194" s="19" t="str">
        <x:v>EMI屏蔽结构依外壳设计</x:v>
      </x:c>
    </x:row>
    <x:row r="1195" ht="15" hidden="0" customHeight="1">
      <x:c r="A1195" s="19" t="str">
        <x:v>3200-CPO-8DR4-EXT-4PMF</x:v>
      </x:c>
      <x:c r="B1195" s="19" t="str">
        <x:v>C005</x:v>
      </x:c>
      <x:c r="C1195" s="19" t="n">
        <x:v>1</x:v>
      </x:c>
      <x:c r="D1195" s="19" t="str">
        <x:v>可选/系统级</x:v>
      </x:c>
      <x:c r="E1195" s="19" t="str">
        <x:v>代表性</x:v>
      </x:c>
      <x:c r="F1195" s="19" t="str">
        <x:v>CPO可采用封装基板+系统PCB</x:v>
      </x:c>
    </x:row>
    <x:row r="1196" ht="15" hidden="0" customHeight="1">
      <x:c r="A1196" s="19" t="str">
        <x:v>3200-CPO-8DR4-EXT-4PMF</x:v>
      </x:c>
      <x:c r="B1196" s="19" t="str">
        <x:v>C056</x:v>
      </x:c>
      <x:c r="C1196" s="19" t="n">
        <x:v>1</x:v>
      </x:c>
      <x:c r="D1196" s="19" t="str">
        <x:v>不适用</x:v>
      </x:c>
      <x:c r="E1196" s="19" t="str">
        <x:v>形态级</x:v>
      </x:c>
      <x:c r="F1196" s="19" t="str">
        <x:v>可插拔模块主机侧金手指/电连接器</x:v>
      </x:c>
    </x:row>
    <x:row r="1197" ht="15" hidden="0" customHeight="1">
      <x:c r="A1197" s="19" t="str">
        <x:v>3200-CPO-8DR4-EXT-4PMF</x:v>
      </x:c>
      <x:c r="B1197" s="19" t="str">
        <x:v>C057</x:v>
      </x:c>
      <x:c r="C1197" s="19" t="n">
        <x:v>1</x:v>
      </x:c>
      <x:c r="D1197" s="19" t="str">
        <x:v>不适用</x:v>
      </x:c>
      <x:c r="E1197" s="19" t="str">
        <x:v>系统级</x:v>
      </x:c>
      <x:c r="F1197" s="19" t="str">
        <x:v>cage不属于模块内采购BOM</x:v>
      </x:c>
    </x:row>
    <x:row r="1198" ht="15" hidden="0" customHeight="1">
      <x:c r="A1198" s="19" t="str">
        <x:v>3200-CPO-8DR4-EXT-4PMF</x:v>
      </x:c>
      <x:c r="B1198" s="19" t="str">
        <x:v>C007</x:v>
      </x:c>
      <x:c r="C1198" s="19" t="n">
        <x:v>1</x:v>
      </x:c>
      <x:c r="D1198" s="19" t="str">
        <x:v>必需</x:v>
      </x:c>
      <x:c r="E1198" s="19" t="str">
        <x:v>代表性</x:v>
      </x:c>
      <x:c r="F1198" s="19" t="str">
        <x:v>光引擎承载基板/Interposer</x:v>
      </x:c>
    </x:row>
    <x:row r="1199" ht="15" hidden="0" customHeight="1">
      <x:c r="A1199" s="19" t="str">
        <x:v>3200-CPO-8DR4-EXT-4PMF</x:v>
      </x:c>
      <x:c r="B1199" s="19" t="str">
        <x:v>C008</x:v>
      </x:c>
      <x:c r="C1199" s="19" t="n">
        <x:v>1</x:v>
      </x:c>
      <x:c r="D1199" s="19" t="str">
        <x:v>必需</x:v>
      </x:c>
      <x:c r="E1199" s="19" t="str">
        <x:v>代表性</x:v>
      </x:c>
      <x:c r="F1199" s="19" t="str">
        <x:v>数量按功耗域，不等于精确颗数</x:v>
      </x:c>
    </x:row>
    <x:row r="1200" ht="15" hidden="0" customHeight="1">
      <x:c r="A1200" s="19" t="str">
        <x:v>3200-CPO-8DR4-EXT-4PMF</x:v>
      </x:c>
      <x:c r="B1200" s="19" t="str">
        <x:v>C009</x:v>
      </x:c>
      <x:c r="C1200" s="19" t="n">
        <x:v>1</x:v>
      </x:c>
      <x:c r="D1200" s="19" t="str">
        <x:v>按实现</x:v>
      </x:c>
      <x:c r="E1200" s="19" t="str">
        <x:v>管理接口</x:v>
      </x:c>
      <x:c r="F1200" s="19" t="str">
        <x:v>可插拔模块使用CMIS管理</x:v>
      </x:c>
    </x:row>
    <x:row r="1201" ht="15" hidden="0" customHeight="1">
      <x:c r="A1201" s="19" t="str">
        <x:v>3200-CPO-8DR4-EXT-4PMF</x:v>
      </x:c>
      <x:c r="B1201" s="19" t="str">
        <x:v>C010</x:v>
      </x:c>
      <x:c r="C1201" s="19" t="n">
        <x:v>1</x:v>
      </x:c>
      <x:c r="D1201" s="19" t="str">
        <x:v>按实现</x:v>
      </x:c>
      <x:c r="E1201" s="19" t="str">
        <x:v>代表性</x:v>
      </x:c>
      <x:c r="F1201" s="19" t="str">
        <x:v>模块控制与校准</x:v>
      </x:c>
    </x:row>
    <x:row r="1202" ht="15" hidden="0" customHeight="1">
      <x:c r="A1202" s="19" t="str">
        <x:v>3200-CPO-8DR4-EXT-4PMF</x:v>
      </x:c>
      <x:c r="B1202" s="19" t="str">
        <x:v>C058</x:v>
      </x:c>
      <x:c r="C1202" s="19" t="n">
        <x:v>1</x:v>
      </x:c>
      <x:c r="D1202" s="19" t="str">
        <x:v>按实现</x:v>
      </x:c>
      <x:c r="E1202" s="19" t="str">
        <x:v>时钟架构</x:v>
      </x:c>
      <x:c r="F1202" s="19" t="str">
        <x:v>可由主机提供REFCLK或使用模块内时钟器件</x:v>
      </x:c>
    </x:row>
    <x:row r="1203" ht="15" hidden="0" customHeight="1">
      <x:c r="A1203" s="19" t="str">
        <x:v>3200-CPO-8DR4-EXT-4PMF</x:v>
      </x:c>
      <x:c r="B1203" s="19" t="str">
        <x:v>C059</x:v>
      </x:c>
      <x:c r="C1203" s="19" t="n">
        <x:v>1</x:v>
      </x:c>
      <x:c r="D1203" s="19" t="str">
        <x:v>必需/可集成</x:v>
      </x:c>
      <x:c r="E1203" s="19" t="str">
        <x:v>监控功能</x:v>
      </x:c>
      <x:c r="F1203" s="19" t="str">
        <x:v>CMIS/控制系统温度监测</x:v>
      </x:c>
    </x:row>
    <x:row r="1204" ht="15" hidden="0" customHeight="1">
      <x:c r="A1204" s="19" t="str">
        <x:v>3200-CPO-8DR4-EXT-4PMF</x:v>
      </x:c>
      <x:c r="B1204" s="19" t="str">
        <x:v>C060</x:v>
      </x:c>
      <x:c r="C1204" s="19" t="n">
        <x:v>1</x:v>
      </x:c>
      <x:c r="D1204" s="19" t="str">
        <x:v>必需</x:v>
      </x:c>
      <x:c r="E1204" s="19" t="str">
        <x:v>器件组</x:v>
      </x:c>
      <x:c r="F1204" s="19" t="str">
        <x:v>R/C/L数量不按lane数表示</x:v>
      </x:c>
    </x:row>
    <x:row r="1205" ht="15" hidden="0" customHeight="1">
      <x:c r="A1205" s="19" t="str">
        <x:v>3200-CPO-8DR4-EXT-4PMF</x:v>
      </x:c>
      <x:c r="B1205" s="19" t="str">
        <x:v>C062</x:v>
      </x:c>
      <x:c r="C1205" s="19" t="n">
        <x:v>1</x:v>
      </x:c>
      <x:c r="D1205" s="19" t="str">
        <x:v>按封装</x:v>
      </x:c>
      <x:c r="E1205" s="19" t="str">
        <x:v>互连工艺</x:v>
      </x:c>
      <x:c r="F1205" s="19" t="str">
        <x:v>flip-chip平台使用</x:v>
      </x:c>
    </x:row>
    <x:row r="1206" ht="15" hidden="0" customHeight="1">
      <x:c r="A1206" s="19" t="str">
        <x:v>3200-CPO-8DR4-EXT-4PMF</x:v>
      </x:c>
      <x:c r="B1206" s="19" t="str">
        <x:v>C063</x:v>
      </x:c>
      <x:c r="C1206" s="19" t="n">
        <x:v>1</x:v>
      </x:c>
      <x:c r="D1206" s="19" t="str">
        <x:v>按封装</x:v>
      </x:c>
      <x:c r="E1206" s="19" t="str">
        <x:v>互连工艺</x:v>
      </x:c>
      <x:c r="F1206" s="19" t="str">
        <x:v>wire/ribbon bond平台使用</x:v>
      </x:c>
    </x:row>
    <x:row r="1207" ht="15" hidden="0" customHeight="1">
      <x:c r="A1207" s="19" t="str">
        <x:v>3200-CPO-8DR4-EXT-4PMF</x:v>
      </x:c>
      <x:c r="B1207" s="19" t="str">
        <x:v>C011</x:v>
      </x:c>
      <x:c r="C1207" s="19" t="n">
        <x:v>1</x:v>
      </x:c>
      <x:c r="D1207" s="19" t="str">
        <x:v>必需</x:v>
      </x:c>
      <x:c r="E1207" s="19" t="str">
        <x:v>架构级</x:v>
      </x:c>
      <x:c r="F1207" s="19" t="str">
        <x:v>含DSP、Driver、TIA</x:v>
      </x:c>
    </x:row>
    <x:row r="1208" ht="15" hidden="0" customHeight="1">
      <x:c r="A1208" s="19" t="str">
        <x:v>3200-CPO-8DR4-EXT-4PMF</x:v>
      </x:c>
      <x:c r="B1208" s="19" t="str">
        <x:v>C012</x:v>
      </x:c>
      <x:c r="C1208" s="19" t="n">
        <x:v>1</x:v>
      </x:c>
      <x:c r="D1208" s="19" t="str">
        <x:v>必需</x:v>
      </x:c>
      <x:c r="E1208" s="19" t="str">
        <x:v>通道级</x:v>
      </x:c>
      <x:c r="F1208" s="19" t="str">
        <x:v>32×112G XSR→32×100G</x:v>
      </x:c>
    </x:row>
    <x:row r="1209" ht="15" hidden="0" customHeight="1">
      <x:c r="A1209" s="19" t="str">
        <x:v>3200-CPO-8DR4-EXT-4PMF</x:v>
      </x:c>
      <x:c r="B1209" s="19" t="str">
        <x:v>C014</x:v>
      </x:c>
      <x:c r="C1209" s="19" t="n">
        <x:v>32</x:v>
      </x:c>
      <x:c r="D1209" s="19" t="str">
        <x:v>必需</x:v>
      </x:c>
      <x:c r="E1209" s="19" t="str">
        <x:v>功能通道数</x:v>
      </x:c>
      <x:c r="F1209" s="19" t="str">
        <x:v>可能为阵列/多通道die，非精确封装颗数</x:v>
      </x:c>
    </x:row>
    <x:row r="1210" ht="15" hidden="0" customHeight="1">
      <x:c r="A1210" s="19" t="str">
        <x:v>3200-CPO-8DR4-EXT-4PMF</x:v>
      </x:c>
      <x:c r="B1210" s="19" t="str">
        <x:v>C015</x:v>
      </x:c>
      <x:c r="C1210" s="19" t="n">
        <x:v>32</x:v>
      </x:c>
      <x:c r="D1210" s="19" t="str">
        <x:v>必需</x:v>
      </x:c>
      <x:c r="E1210" s="19" t="str">
        <x:v>功能通道数</x:v>
      </x:c>
      <x:c r="F1210" s="19" t="str">
        <x:v>可能为阵列/多通道die，非精确封装颗数</x:v>
      </x:c>
    </x:row>
    <x:row r="1211" ht="15" hidden="0" customHeight="1">
      <x:c r="A1211" s="19" t="str">
        <x:v>3200-CPO-8DR4-EXT-4PMF</x:v>
      </x:c>
      <x:c r="B1211" s="19" t="str">
        <x:v>C025</x:v>
      </x:c>
      <x:c r="C1211" s="19" t="n">
        <x:v>1</x:v>
      </x:c>
      <x:c r="D1211" s="19" t="str">
        <x:v>必需</x:v>
      </x:c>
      <x:c r="E1211" s="19" t="str">
        <x:v>PIC级</x:v>
      </x:c>
      <x:c r="F1211" s="19" t="str">
        <x:v>具体是否MZM或MRR需供应商证据</x:v>
      </x:c>
    </x:row>
    <x:row r="1212" ht="15" hidden="0" customHeight="1">
      <x:c r="A1212" s="19" t="str">
        <x:v>3200-CPO-8DR4-EXT-4PMF</x:v>
      </x:c>
      <x:c r="B1212" s="19" t="str">
        <x:v>C026</x:v>
      </x:c>
      <x:c r="C1212" s="19" t="n">
        <x:v>32</x:v>
      </x:c>
      <x:c r="D1212" s="19" t="str">
        <x:v>代表性</x:v>
      </x:c>
      <x:c r="E1212" s="19" t="str">
        <x:v>微结构</x:v>
      </x:c>
      <x:c r="F1212" s="19" t="str">
        <x:v>默认以MZM表示，若厂商披露MRR应改用C027</x:v>
      </x:c>
    </x:row>
    <x:row r="1213" ht="15" hidden="0" customHeight="1">
      <x:c r="A1213" s="19" t="str">
        <x:v>3200-CPO-8DR4-EXT-4PMF</x:v>
      </x:c>
      <x:c r="B1213" s="19" t="str">
        <x:v>C028</x:v>
      </x:c>
      <x:c r="C1213" s="19" t="n">
        <x:v>32</x:v>
      </x:c>
      <x:c r="D1213" s="19" t="str">
        <x:v>内嵌</x:v>
      </x:c>
      <x:c r="E1213" s="19" t="str">
        <x:v>微结构</x:v>
      </x:c>
      <x:c r="F1213" s="19" t="str">
        <x:v>相移器</x:v>
      </x:c>
    </x:row>
    <x:row r="1214" ht="15" hidden="0" customHeight="1">
      <x:c r="A1214" s="19" t="str">
        <x:v>3200-CPO-8DR4-EXT-4PMF</x:v>
      </x:c>
      <x:c r="B1214" s="19" t="str">
        <x:v>C029</x:v>
      </x:c>
      <x:c r="C1214" s="19" t="n">
        <x:v>32</x:v>
      </x:c>
      <x:c r="D1214" s="19" t="str">
        <x:v>内嵌</x:v>
      </x:c>
      <x:c r="E1214" s="19" t="str">
        <x:v>微结构</x:v>
      </x:c>
      <x:c r="F1214" s="19" t="str">
        <x:v>片上光路</x:v>
      </x:c>
    </x:row>
    <x:row r="1215" ht="15" hidden="0" customHeight="1">
      <x:c r="A1215" s="19" t="str">
        <x:v>3200-CPO-8DR4-EXT-4PMF</x:v>
      </x:c>
      <x:c r="B1215" s="19" t="str">
        <x:v>C064</x:v>
      </x:c>
      <x:c r="C1215" s="19" t="n">
        <x:v>1</x:v>
      </x:c>
      <x:c r="D1215" s="19" t="str">
        <x:v>按实现</x:v>
      </x:c>
      <x:c r="E1215" s="19" t="str">
        <x:v>微结构</x:v>
      </x:c>
      <x:c r="F1215" s="19" t="str">
        <x:v>偏振管理</x:v>
      </x:c>
    </x:row>
    <x:row r="1216" ht="15" hidden="0" customHeight="1">
      <x:c r="A1216" s="19" t="str">
        <x:v>3200-CPO-8DR4-EXT-4PMF</x:v>
      </x:c>
      <x:c r="B1216" s="19" t="str">
        <x:v>C065</x:v>
      </x:c>
      <x:c r="C1216" s="19" t="n">
        <x:v>1</x:v>
      </x:c>
      <x:c r="D1216" s="19" t="str">
        <x:v>按实现</x:v>
      </x:c>
      <x:c r="E1216" s="19" t="str">
        <x:v>微结构</x:v>
      </x:c>
      <x:c r="F1216" s="19" t="str">
        <x:v>抽光监控</x:v>
      </x:c>
    </x:row>
    <x:row r="1217" ht="15" hidden="0" customHeight="1">
      <x:c r="A1217" s="19" t="str">
        <x:v>3200-CPO-8DR4-EXT-4PMF</x:v>
      </x:c>
      <x:c r="B1217" s="19" t="str">
        <x:v>C066</x:v>
      </x:c>
      <x:c r="C1217" s="19" t="n">
        <x:v>1</x:v>
      </x:c>
      <x:c r="D1217" s="19" t="str">
        <x:v>按实现</x:v>
      </x:c>
      <x:c r="E1217" s="19" t="str">
        <x:v>微结构</x:v>
      </x:c>
      <x:c r="F1217" s="19" t="str">
        <x:v>微环/AWG/滤波结构热调谐</x:v>
      </x:c>
    </x:row>
    <x:row r="1218" ht="15" hidden="0" customHeight="1">
      <x:c r="A1218" s="19" t="str">
        <x:v>3200-CPO-8DR4-EXT-4PMF</x:v>
      </x:c>
      <x:c r="B1218" s="19" t="str">
        <x:v>C030</x:v>
      </x:c>
      <x:c r="C1218" s="19" t="n">
        <x:v>32</x:v>
      </x:c>
      <x:c r="D1218" s="19" t="str">
        <x:v>必需</x:v>
      </x:c>
      <x:c r="E1218" s="19" t="str">
        <x:v>光通道</x:v>
      </x:c>
      <x:c r="F1218" s="19" t="str">
        <x:v>PIN/GeSi</x:v>
      </x:c>
    </x:row>
    <x:row r="1219" ht="15" hidden="0" customHeight="1">
      <x:c r="A1219" s="19" t="str">
        <x:v>3200-CPO-8DR4-EXT-4PMF</x:v>
      </x:c>
      <x:c r="B1219" s="19" t="str">
        <x:v>C039</x:v>
      </x:c>
      <x:c r="C1219" s="19" t="n">
        <x:v>32</x:v>
      </x:c>
      <x:c r="D1219" s="19" t="str">
        <x:v>二选一</x:v>
      </x:c>
      <x:c r="E1219" s="19" t="str">
        <x:v>耦合方式</x:v>
      </x:c>
      <x:c r="F1219" s="19" t="str">
        <x:v>与边缘耦合器二选一或混用</x:v>
      </x:c>
    </x:row>
    <x:row r="1220" ht="15" hidden="0" customHeight="1">
      <x:c r="A1220" s="19" t="str">
        <x:v>3200-CPO-8DR4-EXT-4PMF</x:v>
      </x:c>
      <x:c r="B1220" s="19" t="str">
        <x:v>C040</x:v>
      </x:c>
      <x:c r="C1220" s="19" t="n">
        <x:v>32</x:v>
      </x:c>
      <x:c r="D1220" s="19" t="str">
        <x:v>二选一</x:v>
      </x:c>
      <x:c r="E1220" s="19" t="str">
        <x:v>耦合方式</x:v>
      </x:c>
      <x:c r="F1220" s="19" t="str">
        <x:v>与光栅耦合器二选一或混用</x:v>
      </x:c>
    </x:row>
    <x:row r="1221" ht="15" hidden="0" customHeight="1">
      <x:c r="A1221" s="19" t="str">
        <x:v>3200-CPO-8DR4-EXT-4PMF</x:v>
      </x:c>
      <x:c r="B1221" s="19" t="str">
        <x:v>C024</x:v>
      </x:c>
      <x:c r="C1221" s="19" t="n">
        <x:v>1</x:v>
      </x:c>
      <x:c r="D1221" s="19" t="str">
        <x:v>必需</x:v>
      </x:c>
      <x:c r="E1221" s="19" t="str">
        <x:v>系统级</x:v>
      </x:c>
      <x:c r="F1221" s="19" t="str">
        <x:v>ELSFP/外置激光源</x:v>
      </x:c>
    </x:row>
    <x:row r="1222" ht="15" hidden="0" customHeight="1">
      <x:c r="A1222" s="19" t="str">
        <x:v>3200-CPO-8DR4-EXT-4PMF</x:v>
      </x:c>
      <x:c r="B1222" s="19" t="str">
        <x:v>C041</x:v>
      </x:c>
      <x:c r="C1222" s="19" t="n">
        <x:v>1</x:v>
      </x:c>
      <x:c r="D1222" s="19" t="str">
        <x:v>必需</x:v>
      </x:c>
      <x:c r="E1222" s="19" t="str">
        <x:v>系统级</x:v>
      </x:c>
      <x:c r="F1222" s="19" t="str">
        <x:v>激光功率分配</x:v>
      </x:c>
    </x:row>
    <x:row r="1223" ht="15" hidden="0" customHeight="1">
      <x:c r="A1223" s="19" t="str">
        <x:v>3200-CPO-8DR4-EXT-4PMF</x:v>
      </x:c>
      <x:c r="B1223" s="19" t="str">
        <x:v>C051</x:v>
      </x:c>
      <x:c r="C1223" s="19" t="n">
        <x:v>32</x:v>
      </x:c>
      <x:c r="D1223" s="19" t="str">
        <x:v>按实现</x:v>
      </x:c>
      <x:c r="E1223" s="19" t="str">
        <x:v>系统级</x:v>
      </x:c>
      <x:c r="F1223" s="19" t="str">
        <x:v>外置激光到PIC的偏振管理</x:v>
      </x:c>
    </x:row>
    <x:row r="1224" ht="15" hidden="0" customHeight="1">
      <x:c r="A1224" s="19" t="str">
        <x:v>3200-CPO-8DR4-EXT-4PMF</x:v>
      </x:c>
      <x:c r="B1224" s="19" t="str">
        <x:v>C049</x:v>
      </x:c>
      <x:c r="C1224" s="19" t="n">
        <x:v>32</x:v>
      </x:c>
      <x:c r="D1224" s="19" t="str">
        <x:v>必需</x:v>
      </x:c>
      <x:c r="E1224" s="19" t="str">
        <x:v>光纤通道</x:v>
      </x:c>
      <x:c r="F1224" s="19" t="str">
        <x:v>PSM SMF</x:v>
      </x:c>
    </x:row>
    <x:row r="1225" ht="15" hidden="0" customHeight="1">
      <x:c r="A1225" s="19"/>
      <x:c r="B1225" s="19"/>
      <x:c r="C1225" s="19"/>
      <x:c r="D1225" s="19"/>
      <x:c r="E1225" s="19"/>
      <x:c r="F1225" s="19"/>
    </x:row>
    <x:row r="1226" ht="15" hidden="0" customHeight="1">
      <x:c r="A1226" s="19"/>
      <x:c r="B1226" s="19"/>
      <x:c r="C1226" s="19"/>
      <x:c r="D1226" s="19"/>
      <x:c r="E1226" s="19"/>
      <x:c r="F1226" s="19"/>
    </x:row>
    <x:row r="1227" ht="15" hidden="0" customHeight="1">
      <x:c r="A1227" s="19"/>
      <x:c r="B1227" s="19"/>
      <x:c r="C1227" s="19"/>
      <x:c r="D1227" s="19"/>
      <x:c r="E1227" s="19"/>
      <x:c r="F1227" s="19"/>
    </x:row>
    <x:row r="1228" ht="15" hidden="0" customHeight="1">
      <x:c r="A1228" s="19" t="str">
        <x:v>3200-CPO-8DR4-EXT-4PMF</x:v>
      </x:c>
      <x:c r="B1228" s="19" t="str">
        <x:v>C037</x:v>
      </x:c>
      <x:c r="C1228" s="19" t="n">
        <x:v>32</x:v>
      </x:c>
      <x:c r="D1228" s="19" t="str">
        <x:v>按实现</x:v>
      </x:c>
      <x:c r="E1228" s="19" t="str">
        <x:v>光通道</x:v>
      </x:c>
      <x:c r="F1228" s="19" t="str">
        <x:v>自由空间/阵列耦合时使用</x:v>
      </x:c>
    </x:row>
    <x:row r="1229" ht="15" hidden="0" customHeight="1">
      <x:c r="A1229" s="19" t="str">
        <x:v>3200-CPO-8DR4-EXT-4PMF</x:v>
      </x:c>
      <x:c r="B1229" s="19" t="str">
        <x:v>C038</x:v>
      </x:c>
      <x:c r="C1229" s="19" t="n">
        <x:v>32</x:v>
      </x:c>
      <x:c r="D1229" s="19" t="str">
        <x:v>按实现</x:v>
      </x:c>
      <x:c r="E1229" s="19" t="str">
        <x:v>光通道</x:v>
      </x:c>
      <x:c r="F1229" s="19" t="str">
        <x:v>FAU可能按阵列封装，不等于单根数量</x:v>
      </x:c>
    </x:row>
    <x:row r="1230" ht="15" hidden="0" customHeight="1">
      <x:c r="A1230" s="19" t="str">
        <x:v>3200-CPO-8DR4-EXT-4PMF</x:v>
      </x:c>
      <x:c r="B1230" s="19" t="str">
        <x:v>C044</x:v>
      </x:c>
      <x:c r="C1230" s="19" t="n">
        <x:v>1</x:v>
      </x:c>
      <x:c r="D1230" s="19" t="str">
        <x:v>候选</x:v>
      </x:c>
      <x:c r="E1230" s="19" t="str">
        <x:v>标准未规定</x:v>
      </x:c>
      <x:c r="F1230" s="19" t="str">
        <x:v>IA未规定线路侧连接器；ELS输入4 PM fibers</x:v>
      </x:c>
    </x:row>
    <x:row r="1231" ht="15" hidden="0" customHeight="1">
      <x:c r="A1231" s="19" t="str">
        <x:v>3200-CPO-8DR4-EXT-4PMF</x:v>
      </x:c>
      <x:c r="B1231" s="19" t="str">
        <x:v>C047</x:v>
      </x:c>
      <x:c r="C1231" s="19" t="n">
        <x:v>1</x:v>
      </x:c>
      <x:c r="D1231" s="19" t="str">
        <x:v>候选</x:v>
      </x:c>
      <x:c r="E1231" s="19" t="str">
        <x:v>标准未规定</x:v>
      </x:c>
      <x:c r="F1231" s="19" t="str">
        <x:v>IA未规定线路侧连接器；ELS输入4 PM fibers</x:v>
      </x:c>
    </x:row>
    <x:row r="1232" ht="15" hidden="0" customHeight="1">
      <x:c r="A1232" s="19" t="str">
        <x:v>3200-CPO-8DR4-EXT-4PMF</x:v>
      </x:c>
      <x:c r="B1232" s="19" t="str">
        <x:v>C048</x:v>
      </x:c>
      <x:c r="C1232" s="19" t="n">
        <x:v>1</x:v>
      </x:c>
      <x:c r="D1232" s="19" t="str">
        <x:v>候选</x:v>
      </x:c>
      <x:c r="E1232" s="19" t="str">
        <x:v>标准未规定</x:v>
      </x:c>
      <x:c r="F1232" s="19" t="str">
        <x:v>IA未规定线路侧连接器；ELS输入4 PM fibers</x:v>
      </x:c>
    </x:row>
    <x:row r="1233" ht="15" hidden="0" customHeight="1">
      <x:c r="A1233" s="19" t="str">
        <x:v>3200-CPO-8DR4-EXT-4PMF</x:v>
      </x:c>
      <x:c r="B1233" s="19" t="str">
        <x:v>C053</x:v>
      </x:c>
      <x:c r="C1233" s="19" t="n">
        <x:v>1</x:v>
      </x:c>
      <x:c r="D1233" s="19" t="str">
        <x:v>必需</x:v>
      </x:c>
      <x:c r="E1233" s="19" t="str">
        <x:v>热管理</x:v>
      </x:c>
      <x:c r="F1233" s="19" t="str">
        <x:v>TIM</x:v>
      </x:c>
    </x:row>
    <x:row r="1234" ht="15" hidden="0" customHeight="1">
      <x:c r="A1234" s="19" t="str">
        <x:v>3200-CPO-8DR4-EXT-4PMF</x:v>
      </x:c>
      <x:c r="B1234" s="19" t="str">
        <x:v>C054</x:v>
      </x:c>
      <x:c r="C1234" s="19" t="n">
        <x:v>1</x:v>
      </x:c>
      <x:c r="D1234" s="19" t="str">
        <x:v>按实现</x:v>
      </x:c>
      <x:c r="E1234" s="19" t="str">
        <x:v>封装</x:v>
      </x:c>
      <x:c r="F1234" s="19" t="str">
        <x:v>光学胶/底填</x:v>
      </x:c>
    </x:row>
    <x:row r="1235" ht="15" hidden="0" customHeight="1">
      <x:c r="A1235" s="19" t="str">
        <x:v>3200-CPO-8FR4-INT</x:v>
      </x:c>
      <x:c r="B1235" s="19" t="str">
        <x:v>C001</x:v>
      </x:c>
      <x:c r="C1235" s="19" t="n">
        <x:v>1</x:v>
      </x:c>
      <x:c r="D1235" s="19" t="str">
        <x:v>必需</x:v>
      </x:c>
      <x:c r="E1235" s="19" t="str">
        <x:v>形态级</x:v>
      </x:c>
      <x:c r="F1235" s="19" t="str">
        <x:v>CPO Module</x:v>
      </x:c>
    </x:row>
    <x:row r="1236" ht="15" hidden="0" customHeight="1">
      <x:c r="A1236" s="19" t="str">
        <x:v>3200-CPO-8FR4-INT</x:v>
      </x:c>
      <x:c r="B1236" s="19" t="str">
        <x:v>C002</x:v>
      </x:c>
      <x:c r="C1236" s="19" t="n">
        <x:v>1</x:v>
      </x:c>
      <x:c r="D1236" s="19" t="str">
        <x:v>必需</x:v>
      </x:c>
      <x:c r="E1236" s="19" t="str">
        <x:v>形态级</x:v>
      </x:c>
      <x:c r="F1236" s="19" t="str">
        <x:v>散热能力需按功耗校核</x:v>
      </x:c>
    </x:row>
    <x:row r="1237" ht="15" hidden="0" customHeight="1">
      <x:c r="A1237" s="19" t="str">
        <x:v>3200-CPO-8FR4-INT</x:v>
      </x:c>
      <x:c r="B1237" s="19" t="str">
        <x:v>C003</x:v>
      </x:c>
      <x:c r="C1237" s="19" t="n">
        <x:v>1</x:v>
      </x:c>
      <x:c r="D1237" s="19" t="str">
        <x:v>不适用</x:v>
      </x:c>
      <x:c r="E1237" s="19" t="str">
        <x:v>形态级</x:v>
      </x:c>
      <x:c r="F1237" s="19" t="str">
        <x:v>CPO无传统前面板模块拉环</x:v>
      </x:c>
    </x:row>
    <x:row r="1238" ht="15" hidden="0" customHeight="1">
      <x:c r="A1238" s="19" t="str">
        <x:v>3200-CPO-8FR4-INT</x:v>
      </x:c>
      <x:c r="B1238" s="19" t="str">
        <x:v>C004</x:v>
      </x:c>
      <x:c r="C1238" s="19" t="n">
        <x:v>1</x:v>
      </x:c>
      <x:c r="D1238" s="19" t="str">
        <x:v>必需</x:v>
      </x:c>
      <x:c r="E1238" s="19" t="str">
        <x:v>代表性</x:v>
      </x:c>
      <x:c r="F1238" s="19" t="str">
        <x:v>EMI屏蔽结构依外壳设计</x:v>
      </x:c>
    </x:row>
    <x:row r="1239" ht="15" hidden="0" customHeight="1">
      <x:c r="A1239" s="19" t="str">
        <x:v>3200-CPO-8FR4-INT</x:v>
      </x:c>
      <x:c r="B1239" s="19" t="str">
        <x:v>C005</x:v>
      </x:c>
      <x:c r="C1239" s="19" t="n">
        <x:v>1</x:v>
      </x:c>
      <x:c r="D1239" s="19" t="str">
        <x:v>可选/系统级</x:v>
      </x:c>
      <x:c r="E1239" s="19" t="str">
        <x:v>代表性</x:v>
      </x:c>
      <x:c r="F1239" s="19" t="str">
        <x:v>CPO可采用封装基板+系统PCB</x:v>
      </x:c>
    </x:row>
    <x:row r="1240" ht="15" hidden="0" customHeight="1">
      <x:c r="A1240" s="19" t="str">
        <x:v>3200-CPO-8FR4-INT</x:v>
      </x:c>
      <x:c r="B1240" s="19" t="str">
        <x:v>C056</x:v>
      </x:c>
      <x:c r="C1240" s="19" t="n">
        <x:v>1</x:v>
      </x:c>
      <x:c r="D1240" s="19" t="str">
        <x:v>不适用</x:v>
      </x:c>
      <x:c r="E1240" s="19" t="str">
        <x:v>形态级</x:v>
      </x:c>
      <x:c r="F1240" s="19" t="str">
        <x:v>可插拔模块主机侧金手指/电连接器</x:v>
      </x:c>
    </x:row>
    <x:row r="1241" ht="15" hidden="0" customHeight="1">
      <x:c r="A1241" s="19" t="str">
        <x:v>3200-CPO-8FR4-INT</x:v>
      </x:c>
      <x:c r="B1241" s="19" t="str">
        <x:v>C057</x:v>
      </x:c>
      <x:c r="C1241" s="19" t="n">
        <x:v>1</x:v>
      </x:c>
      <x:c r="D1241" s="19" t="str">
        <x:v>不适用</x:v>
      </x:c>
      <x:c r="E1241" s="19" t="str">
        <x:v>系统级</x:v>
      </x:c>
      <x:c r="F1241" s="19" t="str">
        <x:v>cage不属于模块内采购BOM</x:v>
      </x:c>
    </x:row>
    <x:row r="1242" ht="15" hidden="0" customHeight="1">
      <x:c r="A1242" s="19" t="str">
        <x:v>3200-CPO-8FR4-INT</x:v>
      </x:c>
      <x:c r="B1242" s="19" t="str">
        <x:v>C007</x:v>
      </x:c>
      <x:c r="C1242" s="19" t="n">
        <x:v>1</x:v>
      </x:c>
      <x:c r="D1242" s="19" t="str">
        <x:v>必需</x:v>
      </x:c>
      <x:c r="E1242" s="19" t="str">
        <x:v>代表性</x:v>
      </x:c>
      <x:c r="F1242" s="19" t="str">
        <x:v>光引擎承载基板/Interposer</x:v>
      </x:c>
    </x:row>
    <x:row r="1243" ht="15" hidden="0" customHeight="1">
      <x:c r="A1243" s="19" t="str">
        <x:v>3200-CPO-8FR4-INT</x:v>
      </x:c>
      <x:c r="B1243" s="19" t="str">
        <x:v>C008</x:v>
      </x:c>
      <x:c r="C1243" s="19" t="n">
        <x:v>1</x:v>
      </x:c>
      <x:c r="D1243" s="19" t="str">
        <x:v>必需</x:v>
      </x:c>
      <x:c r="E1243" s="19" t="str">
        <x:v>代表性</x:v>
      </x:c>
      <x:c r="F1243" s="19" t="str">
        <x:v>数量按功耗域，不等于精确颗数</x:v>
      </x:c>
    </x:row>
    <x:row r="1244" ht="15" hidden="0" customHeight="1">
      <x:c r="A1244" s="19" t="str">
        <x:v>3200-CPO-8FR4-INT</x:v>
      </x:c>
      <x:c r="B1244" s="19" t="str">
        <x:v>C009</x:v>
      </x:c>
      <x:c r="C1244" s="19" t="n">
        <x:v>1</x:v>
      </x:c>
      <x:c r="D1244" s="19" t="str">
        <x:v>按实现</x:v>
      </x:c>
      <x:c r="E1244" s="19" t="str">
        <x:v>管理接口</x:v>
      </x:c>
      <x:c r="F1244" s="19" t="str">
        <x:v>可插拔模块使用CMIS管理</x:v>
      </x:c>
    </x:row>
    <x:row r="1245" ht="15" hidden="0" customHeight="1">
      <x:c r="A1245" s="19" t="str">
        <x:v>3200-CPO-8FR4-INT</x:v>
      </x:c>
      <x:c r="B1245" s="19" t="str">
        <x:v>C010</x:v>
      </x:c>
      <x:c r="C1245" s="19" t="n">
        <x:v>1</x:v>
      </x:c>
      <x:c r="D1245" s="19" t="str">
        <x:v>按实现</x:v>
      </x:c>
      <x:c r="E1245" s="19" t="str">
        <x:v>代表性</x:v>
      </x:c>
      <x:c r="F1245" s="19" t="str">
        <x:v>模块控制与校准</x:v>
      </x:c>
    </x:row>
    <x:row r="1246" ht="15" hidden="0" customHeight="1">
      <x:c r="A1246" s="19" t="str">
        <x:v>3200-CPO-8FR4-INT</x:v>
      </x:c>
      <x:c r="B1246" s="19" t="str">
        <x:v>C058</x:v>
      </x:c>
      <x:c r="C1246" s="19" t="n">
        <x:v>1</x:v>
      </x:c>
      <x:c r="D1246" s="19" t="str">
        <x:v>按实现</x:v>
      </x:c>
      <x:c r="E1246" s="19" t="str">
        <x:v>时钟架构</x:v>
      </x:c>
      <x:c r="F1246" s="19" t="str">
        <x:v>可由主机提供REFCLK或使用模块内时钟器件</x:v>
      </x:c>
    </x:row>
    <x:row r="1247" ht="15" hidden="0" customHeight="1">
      <x:c r="A1247" s="19" t="str">
        <x:v>3200-CPO-8FR4-INT</x:v>
      </x:c>
      <x:c r="B1247" s="19" t="str">
        <x:v>C059</x:v>
      </x:c>
      <x:c r="C1247" s="19" t="n">
        <x:v>1</x:v>
      </x:c>
      <x:c r="D1247" s="19" t="str">
        <x:v>必需/可集成</x:v>
      </x:c>
      <x:c r="E1247" s="19" t="str">
        <x:v>监控功能</x:v>
      </x:c>
      <x:c r="F1247" s="19" t="str">
        <x:v>CMIS/控制系统温度监测</x:v>
      </x:c>
    </x:row>
    <x:row r="1248" ht="15" hidden="0" customHeight="1">
      <x:c r="A1248" s="19" t="str">
        <x:v>3200-CPO-8FR4-INT</x:v>
      </x:c>
      <x:c r="B1248" s="19" t="str">
        <x:v>C060</x:v>
      </x:c>
      <x:c r="C1248" s="19" t="n">
        <x:v>1</x:v>
      </x:c>
      <x:c r="D1248" s="19" t="str">
        <x:v>必需</x:v>
      </x:c>
      <x:c r="E1248" s="19" t="str">
        <x:v>器件组</x:v>
      </x:c>
      <x:c r="F1248" s="19" t="str">
        <x:v>R/C/L数量不按lane数表示</x:v>
      </x:c>
    </x:row>
    <x:row r="1249" ht="15" hidden="0" customHeight="1">
      <x:c r="A1249" s="19" t="str">
        <x:v>3200-CPO-8FR4-INT</x:v>
      </x:c>
      <x:c r="B1249" s="19" t="str">
        <x:v>C062</x:v>
      </x:c>
      <x:c r="C1249" s="19" t="n">
        <x:v>1</x:v>
      </x:c>
      <x:c r="D1249" s="19" t="str">
        <x:v>按封装</x:v>
      </x:c>
      <x:c r="E1249" s="19" t="str">
        <x:v>互连工艺</x:v>
      </x:c>
      <x:c r="F1249" s="19" t="str">
        <x:v>flip-chip平台使用</x:v>
      </x:c>
    </x:row>
    <x:row r="1250" ht="15" hidden="0" customHeight="1">
      <x:c r="A1250" s="19" t="str">
        <x:v>3200-CPO-8FR4-INT</x:v>
      </x:c>
      <x:c r="B1250" s="19" t="str">
        <x:v>C063</x:v>
      </x:c>
      <x:c r="C1250" s="19" t="n">
        <x:v>1</x:v>
      </x:c>
      <x:c r="D1250" s="19" t="str">
        <x:v>按封装</x:v>
      </x:c>
      <x:c r="E1250" s="19" t="str">
        <x:v>互连工艺</x:v>
      </x:c>
      <x:c r="F1250" s="19" t="str">
        <x:v>wire/ribbon bond平台使用</x:v>
      </x:c>
    </x:row>
    <x:row r="1251" ht="15" hidden="0" customHeight="1">
      <x:c r="A1251" s="19" t="str">
        <x:v>3200-CPO-8FR4-INT</x:v>
      </x:c>
      <x:c r="B1251" s="19" t="str">
        <x:v>C011</x:v>
      </x:c>
      <x:c r="C1251" s="19" t="n">
        <x:v>1</x:v>
      </x:c>
      <x:c r="D1251" s="19" t="str">
        <x:v>必需</x:v>
      </x:c>
      <x:c r="E1251" s="19" t="str">
        <x:v>架构级</x:v>
      </x:c>
      <x:c r="F1251" s="19" t="str">
        <x:v>含DSP、Driver、TIA</x:v>
      </x:c>
    </x:row>
    <x:row r="1252" ht="15" hidden="0" customHeight="1">
      <x:c r="A1252" s="19" t="str">
        <x:v>3200-CPO-8FR4-INT</x:v>
      </x:c>
      <x:c r="B1252" s="19" t="str">
        <x:v>C012</x:v>
      </x:c>
      <x:c r="C1252" s="19" t="n">
        <x:v>1</x:v>
      </x:c>
      <x:c r="D1252" s="19" t="str">
        <x:v>必需</x:v>
      </x:c>
      <x:c r="E1252" s="19" t="str">
        <x:v>通道级</x:v>
      </x:c>
      <x:c r="F1252" s="19" t="str">
        <x:v>32×112G XSR→32×100G</x:v>
      </x:c>
    </x:row>
    <x:row r="1253" ht="15" hidden="0" customHeight="1">
      <x:c r="A1253" s="19" t="str">
        <x:v>3200-CPO-8FR4-INT</x:v>
      </x:c>
      <x:c r="B1253" s="19" t="str">
        <x:v>C014</x:v>
      </x:c>
      <x:c r="C1253" s="19" t="n">
        <x:v>32</x:v>
      </x:c>
      <x:c r="D1253" s="19" t="str">
        <x:v>必需</x:v>
      </x:c>
      <x:c r="E1253" s="19" t="str">
        <x:v>功能通道数</x:v>
      </x:c>
      <x:c r="F1253" s="19" t="str">
        <x:v>可能为阵列/多通道die，非精确封装颗数</x:v>
      </x:c>
    </x:row>
    <x:row r="1254" ht="15" hidden="0" customHeight="1">
      <x:c r="A1254" s="19" t="str">
        <x:v>3200-CPO-8FR4-INT</x:v>
      </x:c>
      <x:c r="B1254" s="19" t="str">
        <x:v>C015</x:v>
      </x:c>
      <x:c r="C1254" s="19" t="n">
        <x:v>32</x:v>
      </x:c>
      <x:c r="D1254" s="19" t="str">
        <x:v>必需</x:v>
      </x:c>
      <x:c r="E1254" s="19" t="str">
        <x:v>功能通道数</x:v>
      </x:c>
      <x:c r="F1254" s="19" t="str">
        <x:v>可能为阵列/多通道die，非精确封装颗数</x:v>
      </x:c>
    </x:row>
    <x:row r="1255" ht="15" hidden="0" customHeight="1">
      <x:c r="A1255" s="19" t="str">
        <x:v>3200-CPO-8FR4-INT</x:v>
      </x:c>
      <x:c r="B1255" s="19" t="str">
        <x:v>C025</x:v>
      </x:c>
      <x:c r="C1255" s="19" t="n">
        <x:v>1</x:v>
      </x:c>
      <x:c r="D1255" s="19" t="str">
        <x:v>必需</x:v>
      </x:c>
      <x:c r="E1255" s="19" t="str">
        <x:v>PIC级</x:v>
      </x:c>
      <x:c r="F1255" s="19" t="str">
        <x:v>具体是否MZM或MRR需供应商证据</x:v>
      </x:c>
    </x:row>
    <x:row r="1256" ht="15" hidden="0" customHeight="1">
      <x:c r="A1256" s="19" t="str">
        <x:v>3200-CPO-8FR4-INT</x:v>
      </x:c>
      <x:c r="B1256" s="19" t="str">
        <x:v>C026</x:v>
      </x:c>
      <x:c r="C1256" s="19" t="n">
        <x:v>32</x:v>
      </x:c>
      <x:c r="D1256" s="19" t="str">
        <x:v>代表性</x:v>
      </x:c>
      <x:c r="E1256" s="19" t="str">
        <x:v>微结构</x:v>
      </x:c>
      <x:c r="F1256" s="19" t="str">
        <x:v>默认以MZM表示，若厂商披露MRR应改用C027</x:v>
      </x:c>
    </x:row>
    <x:row r="1257" ht="15" hidden="0" customHeight="1">
      <x:c r="A1257" s="19" t="str">
        <x:v>3200-CPO-8FR4-INT</x:v>
      </x:c>
      <x:c r="B1257" s="19" t="str">
        <x:v>C028</x:v>
      </x:c>
      <x:c r="C1257" s="19" t="n">
        <x:v>32</x:v>
      </x:c>
      <x:c r="D1257" s="19" t="str">
        <x:v>内嵌</x:v>
      </x:c>
      <x:c r="E1257" s="19" t="str">
        <x:v>微结构</x:v>
      </x:c>
      <x:c r="F1257" s="19" t="str">
        <x:v>相移器</x:v>
      </x:c>
    </x:row>
    <x:row r="1258" ht="15" hidden="0" customHeight="1">
      <x:c r="A1258" s="19" t="str">
        <x:v>3200-CPO-8FR4-INT</x:v>
      </x:c>
      <x:c r="B1258" s="19" t="str">
        <x:v>C029</x:v>
      </x:c>
      <x:c r="C1258" s="19" t="n">
        <x:v>32</x:v>
      </x:c>
      <x:c r="D1258" s="19" t="str">
        <x:v>内嵌</x:v>
      </x:c>
      <x:c r="E1258" s="19" t="str">
        <x:v>微结构</x:v>
      </x:c>
      <x:c r="F1258" s="19" t="str">
        <x:v>片上光路</x:v>
      </x:c>
    </x:row>
    <x:row r="1259" ht="15" hidden="0" customHeight="1">
      <x:c r="A1259" s="19" t="str">
        <x:v>3200-CPO-8FR4-INT</x:v>
      </x:c>
      <x:c r="B1259" s="19" t="str">
        <x:v>C064</x:v>
      </x:c>
      <x:c r="C1259" s="19" t="n">
        <x:v>1</x:v>
      </x:c>
      <x:c r="D1259" s="19" t="str">
        <x:v>按实现</x:v>
      </x:c>
      <x:c r="E1259" s="19" t="str">
        <x:v>微结构</x:v>
      </x:c>
      <x:c r="F1259" s="19" t="str">
        <x:v>偏振管理</x:v>
      </x:c>
    </x:row>
    <x:row r="1260" ht="15" hidden="0" customHeight="1">
      <x:c r="A1260" s="19" t="str">
        <x:v>3200-CPO-8FR4-INT</x:v>
      </x:c>
      <x:c r="B1260" s="19" t="str">
        <x:v>C065</x:v>
      </x:c>
      <x:c r="C1260" s="19" t="n">
        <x:v>1</x:v>
      </x:c>
      <x:c r="D1260" s="19" t="str">
        <x:v>按实现</x:v>
      </x:c>
      <x:c r="E1260" s="19" t="str">
        <x:v>微结构</x:v>
      </x:c>
      <x:c r="F1260" s="19" t="str">
        <x:v>抽光监控</x:v>
      </x:c>
    </x:row>
    <x:row r="1261" ht="15" hidden="0" customHeight="1">
      <x:c r="A1261" s="19" t="str">
        <x:v>3200-CPO-8FR4-INT</x:v>
      </x:c>
      <x:c r="B1261" s="19" t="str">
        <x:v>C066</x:v>
      </x:c>
      <x:c r="C1261" s="19" t="n">
        <x:v>1</x:v>
      </x:c>
      <x:c r="D1261" s="19" t="str">
        <x:v>按实现</x:v>
      </x:c>
      <x:c r="E1261" s="19" t="str">
        <x:v>微结构</x:v>
      </x:c>
      <x:c r="F1261" s="19" t="str">
        <x:v>微环/AWG/滤波结构热调谐</x:v>
      </x:c>
    </x:row>
    <x:row r="1262" ht="15" hidden="0" customHeight="1">
      <x:c r="A1262" s="19" t="str">
        <x:v>3200-CPO-8FR4-INT</x:v>
      </x:c>
      <x:c r="B1262" s="19" t="str">
        <x:v>C030</x:v>
      </x:c>
      <x:c r="C1262" s="19" t="n">
        <x:v>32</x:v>
      </x:c>
      <x:c r="D1262" s="19" t="str">
        <x:v>必需</x:v>
      </x:c>
      <x:c r="E1262" s="19" t="str">
        <x:v>光通道</x:v>
      </x:c>
      <x:c r="F1262" s="19" t="str">
        <x:v>PIN/GeSi</x:v>
      </x:c>
    </x:row>
    <x:row r="1263" ht="15" hidden="0" customHeight="1">
      <x:c r="A1263" s="19" t="str">
        <x:v>3200-CPO-8FR4-INT</x:v>
      </x:c>
      <x:c r="B1263" s="19" t="str">
        <x:v>C039</x:v>
      </x:c>
      <x:c r="C1263" s="19" t="n">
        <x:v>32</x:v>
      </x:c>
      <x:c r="D1263" s="19" t="str">
        <x:v>二选一</x:v>
      </x:c>
      <x:c r="E1263" s="19" t="str">
        <x:v>耦合方式</x:v>
      </x:c>
      <x:c r="F1263" s="19" t="str">
        <x:v>与边缘耦合器二选一或混用</x:v>
      </x:c>
    </x:row>
    <x:row r="1264" ht="15" hidden="0" customHeight="1">
      <x:c r="A1264" s="19" t="str">
        <x:v>3200-CPO-8FR4-INT</x:v>
      </x:c>
      <x:c r="B1264" s="19" t="str">
        <x:v>C040</x:v>
      </x:c>
      <x:c r="C1264" s="19" t="n">
        <x:v>32</x:v>
      </x:c>
      <x:c r="D1264" s="19" t="str">
        <x:v>二选一</x:v>
      </x:c>
      <x:c r="E1264" s="19" t="str">
        <x:v>耦合方式</x:v>
      </x:c>
      <x:c r="F1264" s="19" t="str">
        <x:v>与光栅耦合器二选一或混用</x:v>
      </x:c>
    </x:row>
    <x:row r="1265" ht="15" hidden="0" customHeight="1">
      <x:c r="A1265" s="19" t="str">
        <x:v>3200-CPO-8FR4-INT</x:v>
      </x:c>
      <x:c r="B1265" s="19" t="str">
        <x:v>C023</x:v>
      </x:c>
      <x:c r="C1265" s="19" t="n">
        <x:v>1</x:v>
      </x:c>
      <x:c r="D1265" s="19" t="str">
        <x:v>必需</x:v>
      </x:c>
      <x:c r="E1265" s="19" t="str">
        <x:v>光源级</x:v>
      </x:c>
      <x:c r="F1265" s="19" t="str">
        <x:v>可为多波长/多激光阵列</x:v>
      </x:c>
    </x:row>
    <x:row r="1266" ht="15" hidden="0" customHeight="1">
      <x:c r="A1266" s="19" t="str">
        <x:v>3200-CPO-8FR4-INT</x:v>
      </x:c>
      <x:c r="B1266" s="19" t="str">
        <x:v>C022</x:v>
      </x:c>
      <x:c r="C1266" s="19" t="n">
        <x:v>1</x:v>
      </x:c>
      <x:c r="D1266" s="19" t="str">
        <x:v>内嵌</x:v>
      </x:c>
      <x:c r="E1266" s="19" t="str">
        <x:v>微结构</x:v>
      </x:c>
      <x:c r="F1266" s="19" t="str">
        <x:v>CW DFB内部光栅</x:v>
      </x:c>
    </x:row>
    <x:row r="1267" ht="15" hidden="0" customHeight="1">
      <x:c r="A1267" s="19" t="str">
        <x:v>3200-CPO-8FR4-INT</x:v>
      </x:c>
      <x:c r="B1267" s="19" t="str">
        <x:v>C049</x:v>
      </x:c>
      <x:c r="C1267" s="19" t="n">
        <x:v>32</x:v>
      </x:c>
      <x:c r="D1267" s="19" t="str">
        <x:v>必需</x:v>
      </x:c>
      <x:c r="E1267" s="19" t="str">
        <x:v>光纤通道</x:v>
      </x:c>
      <x:c r="F1267" s="19" t="str">
        <x:v>SMF</x:v>
      </x:c>
    </x:row>
    <x:row r="1268" ht="15" hidden="0" customHeight="1">
      <x:c r="A1268" s="19" t="str">
        <x:v>3200-CPO-8FR4-INT</x:v>
      </x:c>
      <x:c r="B1268" s="19" t="str">
        <x:v>C034</x:v>
      </x:c>
      <x:c r="C1268" s="19" t="n">
        <x:v>8</x:v>
      </x:c>
      <x:c r="D1268" s="19" t="str">
        <x:v>必需</x:v>
      </x:c>
      <x:c r="E1268" s="19" t="str">
        <x:v>端口/波分组</x:v>
      </x:c>
      <x:c r="F1268" s="19" t="str">
        <x:v>8组4λ CWDM</x:v>
      </x:c>
    </x:row>
    <x:row r="1269" ht="15" hidden="0" customHeight="1">
      <x:c r="A1269" s="19" t="str">
        <x:v>3200-CPO-8FR4-INT</x:v>
      </x:c>
      <x:c r="B1269" s="19" t="str">
        <x:v>C035</x:v>
      </x:c>
      <x:c r="C1269" s="19" t="n">
        <x:v>8</x:v>
      </x:c>
      <x:c r="D1269" s="19" t="str">
        <x:v>实现选项</x:v>
      </x:c>
      <x:c r="E1269" s="19" t="str">
        <x:v>微结构</x:v>
      </x:c>
      <x:c r="F1269" s="19" t="str">
        <x:v>AWG为MUX/DEMUX的一种实现</x:v>
      </x:c>
    </x:row>
    <x:row r="1270" ht="15" hidden="0" customHeight="1">
      <x:c r="A1270" s="19" t="str">
        <x:v>3200-CPO-8FR4-INT</x:v>
      </x:c>
      <x:c r="B1270" s="19" t="str">
        <x:v>C036</x:v>
      </x:c>
      <x:c r="C1270" s="19" t="n">
        <x:v>8</x:v>
      </x:c>
      <x:c r="D1270" s="19" t="str">
        <x:v>实现选项</x:v>
      </x:c>
      <x:c r="E1270" s="19" t="str">
        <x:v>微结构</x:v>
      </x:c>
      <x:c r="F1270" s="19" t="str">
        <x:v>TFF为MUX/DEMUX的另一种实现</x:v>
      </x:c>
    </x:row>
    <x:row r="1271" ht="15" hidden="0" customHeight="1">
      <x:c r="A1271" s="19" t="str">
        <x:v>3200-CPO-8FR4-INT</x:v>
      </x:c>
      <x:c r="B1271" s="19" t="str">
        <x:v>C037</x:v>
      </x:c>
      <x:c r="C1271" s="19" t="n">
        <x:v>32</x:v>
      </x:c>
      <x:c r="D1271" s="19" t="str">
        <x:v>按实现</x:v>
      </x:c>
      <x:c r="E1271" s="19" t="str">
        <x:v>光通道</x:v>
      </x:c>
      <x:c r="F1271" s="19" t="str">
        <x:v>自由空间/阵列耦合时使用</x:v>
      </x:c>
    </x:row>
    <x:row r="1272" ht="15" hidden="0" customHeight="1">
      <x:c r="A1272" s="19" t="str">
        <x:v>3200-CPO-8FR4-INT</x:v>
      </x:c>
      <x:c r="B1272" s="19" t="str">
        <x:v>C038</x:v>
      </x:c>
      <x:c r="C1272" s="19" t="n">
        <x:v>32</x:v>
      </x:c>
      <x:c r="D1272" s="19" t="str">
        <x:v>按实现</x:v>
      </x:c>
      <x:c r="E1272" s="19" t="str">
        <x:v>光通道</x:v>
      </x:c>
      <x:c r="F1272" s="19" t="str">
        <x:v>FAU可能按阵列封装，不等于单根数量</x:v>
      </x:c>
    </x:row>
    <x:row r="1273" ht="15" hidden="0" customHeight="1">
      <x:c r="A1273" s="19" t="str">
        <x:v>3200-CPO-8FR4-INT</x:v>
      </x:c>
      <x:c r="B1273" s="19" t="str">
        <x:v>C044</x:v>
      </x:c>
      <x:c r="C1273" s="19" t="n">
        <x:v>1</x:v>
      </x:c>
      <x:c r="D1273" s="19" t="str">
        <x:v>候选</x:v>
      </x:c>
      <x:c r="E1273" s="19" t="str">
        <x:v>标准未规定</x:v>
      </x:c>
      <x:c r="F1273" s="19" t="str">
        <x:v>IA未规定线路侧连接器；8 Tx/Rx fiber pairs</x:v>
      </x:c>
    </x:row>
    <x:row r="1274" ht="15" hidden="0" customHeight="1">
      <x:c r="A1274" s="19" t="str">
        <x:v>3200-CPO-8FR4-INT</x:v>
      </x:c>
      <x:c r="B1274" s="19" t="str">
        <x:v>C047</x:v>
      </x:c>
      <x:c r="C1274" s="19" t="n">
        <x:v>1</x:v>
      </x:c>
      <x:c r="D1274" s="19" t="str">
        <x:v>候选</x:v>
      </x:c>
      <x:c r="E1274" s="19" t="str">
        <x:v>标准未规定</x:v>
      </x:c>
      <x:c r="F1274" s="19" t="str">
        <x:v>IA未规定线路侧连接器；8 Tx/Rx fiber pairs</x:v>
      </x:c>
    </x:row>
    <x:row r="1275" ht="15" hidden="0" customHeight="1">
      <x:c r="A1275" s="19" t="str">
        <x:v>3200-CPO-8FR4-INT</x:v>
      </x:c>
      <x:c r="B1275" s="19" t="str">
        <x:v>C048</x:v>
      </x:c>
      <x:c r="C1275" s="19" t="n">
        <x:v>1</x:v>
      </x:c>
      <x:c r="D1275" s="19" t="str">
        <x:v>候选</x:v>
      </x:c>
      <x:c r="E1275" s="19" t="str">
        <x:v>标准未规定</x:v>
      </x:c>
      <x:c r="F1275" s="19" t="str">
        <x:v>IA未规定线路侧连接器；8 Tx/Rx fiber pairs</x:v>
      </x:c>
    </x:row>
    <x:row r="1276" ht="15" hidden="0" customHeight="1">
      <x:c r="A1276" s="19" t="str">
        <x:v>3200-CPO-8FR4-INT</x:v>
      </x:c>
      <x:c r="B1276" s="19" t="str">
        <x:v>C053</x:v>
      </x:c>
      <x:c r="C1276" s="19" t="n">
        <x:v>1</x:v>
      </x:c>
      <x:c r="D1276" s="19" t="str">
        <x:v>必需</x:v>
      </x:c>
      <x:c r="E1276" s="19" t="str">
        <x:v>热管理</x:v>
      </x:c>
      <x:c r="F1276" s="19" t="str">
        <x:v>TIM</x:v>
      </x:c>
    </x:row>
    <x:row r="1277" ht="15" hidden="0" customHeight="1">
      <x:c r="A1277" s="19" t="str">
        <x:v>3200-CPO-8FR4-INT</x:v>
      </x:c>
      <x:c r="B1277" s="19" t="str">
        <x:v>C054</x:v>
      </x:c>
      <x:c r="C1277" s="19" t="n">
        <x:v>1</x:v>
      </x:c>
      <x:c r="D1277" s="19" t="str">
        <x:v>按实现</x:v>
      </x:c>
      <x:c r="E1277" s="19" t="str">
        <x:v>封装</x:v>
      </x:c>
      <x:c r="F1277" s="19" t="str">
        <x:v>光学胶/底填</x:v>
      </x:c>
    </x:row>
    <x:row r="1278" ht="15" hidden="0" customHeight="1">
      <x:c r="A1278" s="19" t="str">
        <x:v>3200-CPO-8FR4-EXT-8PMF</x:v>
      </x:c>
      <x:c r="B1278" s="19" t="str">
        <x:v>C001</x:v>
      </x:c>
      <x:c r="C1278" s="19" t="n">
        <x:v>1</x:v>
      </x:c>
      <x:c r="D1278" s="19" t="str">
        <x:v>必需</x:v>
      </x:c>
      <x:c r="E1278" s="19" t="str">
        <x:v>形态级</x:v>
      </x:c>
      <x:c r="F1278" s="19" t="str">
        <x:v>CPO Module</x:v>
      </x:c>
    </x:row>
    <x:row r="1279" ht="15" hidden="0" customHeight="1">
      <x:c r="A1279" s="19" t="str">
        <x:v>3200-CPO-8FR4-EXT-8PMF</x:v>
      </x:c>
      <x:c r="B1279" s="19" t="str">
        <x:v>C002</x:v>
      </x:c>
      <x:c r="C1279" s="19" t="n">
        <x:v>1</x:v>
      </x:c>
      <x:c r="D1279" s="19" t="str">
        <x:v>必需</x:v>
      </x:c>
      <x:c r="E1279" s="19" t="str">
        <x:v>形态级</x:v>
      </x:c>
      <x:c r="F1279" s="19" t="str">
        <x:v>散热能力需按功耗校核</x:v>
      </x:c>
    </x:row>
    <x:row r="1280" ht="15" hidden="0" customHeight="1">
      <x:c r="A1280" s="19" t="str">
        <x:v>3200-CPO-8FR4-EXT-8PMF</x:v>
      </x:c>
      <x:c r="B1280" s="19" t="str">
        <x:v>C003</x:v>
      </x:c>
      <x:c r="C1280" s="19" t="n">
        <x:v>1</x:v>
      </x:c>
      <x:c r="D1280" s="19" t="str">
        <x:v>不适用</x:v>
      </x:c>
      <x:c r="E1280" s="19" t="str">
        <x:v>形态级</x:v>
      </x:c>
      <x:c r="F1280" s="19" t="str">
        <x:v>CPO无传统前面板模块拉环</x:v>
      </x:c>
    </x:row>
    <x:row r="1281" ht="15" hidden="0" customHeight="1">
      <x:c r="A1281" s="19" t="str">
        <x:v>3200-CPO-8FR4-EXT-8PMF</x:v>
      </x:c>
      <x:c r="B1281" s="19" t="str">
        <x:v>C004</x:v>
      </x:c>
      <x:c r="C1281" s="19" t="n">
        <x:v>1</x:v>
      </x:c>
      <x:c r="D1281" s="19" t="str">
        <x:v>必需</x:v>
      </x:c>
      <x:c r="E1281" s="19" t="str">
        <x:v>代表性</x:v>
      </x:c>
      <x:c r="F1281" s="19" t="str">
        <x:v>EMI屏蔽结构依外壳设计</x:v>
      </x:c>
    </x:row>
    <x:row r="1282" ht="15" hidden="0" customHeight="1">
      <x:c r="A1282" s="19" t="str">
        <x:v>3200-CPO-8FR4-EXT-8PMF</x:v>
      </x:c>
      <x:c r="B1282" s="19" t="str">
        <x:v>C005</x:v>
      </x:c>
      <x:c r="C1282" s="19" t="n">
        <x:v>1</x:v>
      </x:c>
      <x:c r="D1282" s="19" t="str">
        <x:v>可选/系统级</x:v>
      </x:c>
      <x:c r="E1282" s="19" t="str">
        <x:v>代表性</x:v>
      </x:c>
      <x:c r="F1282" s="19" t="str">
        <x:v>CPO可采用封装基板+系统PCB</x:v>
      </x:c>
    </x:row>
    <x:row r="1283" ht="15" hidden="0" customHeight="1">
      <x:c r="A1283" s="19" t="str">
        <x:v>3200-CPO-8FR4-EXT-8PMF</x:v>
      </x:c>
      <x:c r="B1283" s="19" t="str">
        <x:v>C056</x:v>
      </x:c>
      <x:c r="C1283" s="19" t="n">
        <x:v>1</x:v>
      </x:c>
      <x:c r="D1283" s="19" t="str">
        <x:v>不适用</x:v>
      </x:c>
      <x:c r="E1283" s="19" t="str">
        <x:v>形态级</x:v>
      </x:c>
      <x:c r="F1283" s="19" t="str">
        <x:v>可插拔模块主机侧金手指/电连接器</x:v>
      </x:c>
    </x:row>
    <x:row r="1284" ht="15" hidden="0" customHeight="1">
      <x:c r="A1284" s="19" t="str">
        <x:v>3200-CPO-8FR4-EXT-8PMF</x:v>
      </x:c>
      <x:c r="B1284" s="19" t="str">
        <x:v>C057</x:v>
      </x:c>
      <x:c r="C1284" s="19" t="n">
        <x:v>1</x:v>
      </x:c>
      <x:c r="D1284" s="19" t="str">
        <x:v>不适用</x:v>
      </x:c>
      <x:c r="E1284" s="19" t="str">
        <x:v>系统级</x:v>
      </x:c>
      <x:c r="F1284" s="19" t="str">
        <x:v>cage不属于模块内采购BOM</x:v>
      </x:c>
    </x:row>
    <x:row r="1285" ht="15" hidden="0" customHeight="1">
      <x:c r="A1285" s="19" t="str">
        <x:v>3200-CPO-8FR4-EXT-8PMF</x:v>
      </x:c>
      <x:c r="B1285" s="19" t="str">
        <x:v>C007</x:v>
      </x:c>
      <x:c r="C1285" s="19" t="n">
        <x:v>1</x:v>
      </x:c>
      <x:c r="D1285" s="19" t="str">
        <x:v>必需</x:v>
      </x:c>
      <x:c r="E1285" s="19" t="str">
        <x:v>代表性</x:v>
      </x:c>
      <x:c r="F1285" s="19" t="str">
        <x:v>光引擎承载基板/Interposer</x:v>
      </x:c>
    </x:row>
    <x:row r="1286" ht="15" hidden="0" customHeight="1">
      <x:c r="A1286" s="19" t="str">
        <x:v>3200-CPO-8FR4-EXT-8PMF</x:v>
      </x:c>
      <x:c r="B1286" s="19" t="str">
        <x:v>C008</x:v>
      </x:c>
      <x:c r="C1286" s="19" t="n">
        <x:v>1</x:v>
      </x:c>
      <x:c r="D1286" s="19" t="str">
        <x:v>必需</x:v>
      </x:c>
      <x:c r="E1286" s="19" t="str">
        <x:v>代表性</x:v>
      </x:c>
      <x:c r="F1286" s="19" t="str">
        <x:v>数量按功耗域，不等于精确颗数</x:v>
      </x:c>
    </x:row>
    <x:row r="1287" ht="15" hidden="0" customHeight="1">
      <x:c r="A1287" s="19" t="str">
        <x:v>3200-CPO-8FR4-EXT-8PMF</x:v>
      </x:c>
      <x:c r="B1287" s="19" t="str">
        <x:v>C009</x:v>
      </x:c>
      <x:c r="C1287" s="19" t="n">
        <x:v>1</x:v>
      </x:c>
      <x:c r="D1287" s="19" t="str">
        <x:v>按实现</x:v>
      </x:c>
      <x:c r="E1287" s="19" t="str">
        <x:v>管理接口</x:v>
      </x:c>
      <x:c r="F1287" s="19" t="str">
        <x:v>可插拔模块使用CMIS管理</x:v>
      </x:c>
    </x:row>
    <x:row r="1288" ht="15" hidden="0" customHeight="1">
      <x:c r="A1288" s="19" t="str">
        <x:v>3200-CPO-8FR4-EXT-8PMF</x:v>
      </x:c>
      <x:c r="B1288" s="19" t="str">
        <x:v>C010</x:v>
      </x:c>
      <x:c r="C1288" s="19" t="n">
        <x:v>1</x:v>
      </x:c>
      <x:c r="D1288" s="19" t="str">
        <x:v>按实现</x:v>
      </x:c>
      <x:c r="E1288" s="19" t="str">
        <x:v>代表性</x:v>
      </x:c>
      <x:c r="F1288" s="19" t="str">
        <x:v>模块控制与校准</x:v>
      </x:c>
    </x:row>
    <x:row r="1289" ht="15" hidden="0" customHeight="1">
      <x:c r="A1289" s="19" t="str">
        <x:v>3200-CPO-8FR4-EXT-8PMF</x:v>
      </x:c>
      <x:c r="B1289" s="19" t="str">
        <x:v>C058</x:v>
      </x:c>
      <x:c r="C1289" s="19" t="n">
        <x:v>1</x:v>
      </x:c>
      <x:c r="D1289" s="19" t="str">
        <x:v>按实现</x:v>
      </x:c>
      <x:c r="E1289" s="19" t="str">
        <x:v>时钟架构</x:v>
      </x:c>
      <x:c r="F1289" s="19" t="str">
        <x:v>可由主机提供REFCLK或使用模块内时钟器件</x:v>
      </x:c>
    </x:row>
    <x:row r="1290" ht="15" hidden="0" customHeight="1">
      <x:c r="A1290" s="19" t="str">
        <x:v>3200-CPO-8FR4-EXT-8PMF</x:v>
      </x:c>
      <x:c r="B1290" s="19" t="str">
        <x:v>C059</x:v>
      </x:c>
      <x:c r="C1290" s="19" t="n">
        <x:v>1</x:v>
      </x:c>
      <x:c r="D1290" s="19" t="str">
        <x:v>必需/可集成</x:v>
      </x:c>
      <x:c r="E1290" s="19" t="str">
        <x:v>监控功能</x:v>
      </x:c>
      <x:c r="F1290" s="19" t="str">
        <x:v>CMIS/控制系统温度监测</x:v>
      </x:c>
    </x:row>
    <x:row r="1291" ht="15" hidden="0" customHeight="1">
      <x:c r="A1291" s="19" t="str">
        <x:v>3200-CPO-8FR4-EXT-8PMF</x:v>
      </x:c>
      <x:c r="B1291" s="19" t="str">
        <x:v>C060</x:v>
      </x:c>
      <x:c r="C1291" s="19" t="n">
        <x:v>1</x:v>
      </x:c>
      <x:c r="D1291" s="19" t="str">
        <x:v>必需</x:v>
      </x:c>
      <x:c r="E1291" s="19" t="str">
        <x:v>器件组</x:v>
      </x:c>
      <x:c r="F1291" s="19" t="str">
        <x:v>R/C/L数量不按lane数表示</x:v>
      </x:c>
    </x:row>
    <x:row r="1292" ht="15" hidden="0" customHeight="1">
      <x:c r="A1292" s="19" t="str">
        <x:v>3200-CPO-8FR4-EXT-8PMF</x:v>
      </x:c>
      <x:c r="B1292" s="19" t="str">
        <x:v>C062</x:v>
      </x:c>
      <x:c r="C1292" s="19" t="n">
        <x:v>1</x:v>
      </x:c>
      <x:c r="D1292" s="19" t="str">
        <x:v>按封装</x:v>
      </x:c>
      <x:c r="E1292" s="19" t="str">
        <x:v>互连工艺</x:v>
      </x:c>
      <x:c r="F1292" s="19" t="str">
        <x:v>flip-chip平台使用</x:v>
      </x:c>
    </x:row>
    <x:row r="1293" ht="15" hidden="0" customHeight="1">
      <x:c r="A1293" s="19" t="str">
        <x:v>3200-CPO-8FR4-EXT-8PMF</x:v>
      </x:c>
      <x:c r="B1293" s="19" t="str">
        <x:v>C063</x:v>
      </x:c>
      <x:c r="C1293" s="19" t="n">
        <x:v>1</x:v>
      </x:c>
      <x:c r="D1293" s="19" t="str">
        <x:v>按封装</x:v>
      </x:c>
      <x:c r="E1293" s="19" t="str">
        <x:v>互连工艺</x:v>
      </x:c>
      <x:c r="F1293" s="19" t="str">
        <x:v>wire/ribbon bond平台使用</x:v>
      </x:c>
    </x:row>
    <x:row r="1294" ht="15" hidden="0" customHeight="1">
      <x:c r="A1294" s="19" t="str">
        <x:v>3200-CPO-8FR4-EXT-8PMF</x:v>
      </x:c>
      <x:c r="B1294" s="19" t="str">
        <x:v>C011</x:v>
      </x:c>
      <x:c r="C1294" s="19" t="n">
        <x:v>1</x:v>
      </x:c>
      <x:c r="D1294" s="19" t="str">
        <x:v>必需</x:v>
      </x:c>
      <x:c r="E1294" s="19" t="str">
        <x:v>架构级</x:v>
      </x:c>
      <x:c r="F1294" s="19" t="str">
        <x:v>含DSP、Driver、TIA</x:v>
      </x:c>
    </x:row>
    <x:row r="1295" ht="15" hidden="0" customHeight="1">
      <x:c r="A1295" s="19" t="str">
        <x:v>3200-CPO-8FR4-EXT-8PMF</x:v>
      </x:c>
      <x:c r="B1295" s="19" t="str">
        <x:v>C012</x:v>
      </x:c>
      <x:c r="C1295" s="19" t="n">
        <x:v>1</x:v>
      </x:c>
      <x:c r="D1295" s="19" t="str">
        <x:v>必需</x:v>
      </x:c>
      <x:c r="E1295" s="19" t="str">
        <x:v>通道级</x:v>
      </x:c>
      <x:c r="F1295" s="19" t="str">
        <x:v>32×112G XSR→32×100G</x:v>
      </x:c>
    </x:row>
    <x:row r="1296" ht="15" hidden="0" customHeight="1">
      <x:c r="A1296" s="19" t="str">
        <x:v>3200-CPO-8FR4-EXT-8PMF</x:v>
      </x:c>
      <x:c r="B1296" s="19" t="str">
        <x:v>C014</x:v>
      </x:c>
      <x:c r="C1296" s="19" t="n">
        <x:v>32</x:v>
      </x:c>
      <x:c r="D1296" s="19" t="str">
        <x:v>必需</x:v>
      </x:c>
      <x:c r="E1296" s="19" t="str">
        <x:v>功能通道数</x:v>
      </x:c>
      <x:c r="F1296" s="19" t="str">
        <x:v>可能为阵列/多通道die，非精确封装颗数</x:v>
      </x:c>
    </x:row>
    <x:row r="1297" ht="15" hidden="0" customHeight="1">
      <x:c r="A1297" s="19" t="str">
        <x:v>3200-CPO-8FR4-EXT-8PMF</x:v>
      </x:c>
      <x:c r="B1297" s="19" t="str">
        <x:v>C015</x:v>
      </x:c>
      <x:c r="C1297" s="19" t="n">
        <x:v>32</x:v>
      </x:c>
      <x:c r="D1297" s="19" t="str">
        <x:v>必需</x:v>
      </x:c>
      <x:c r="E1297" s="19" t="str">
        <x:v>功能通道数</x:v>
      </x:c>
      <x:c r="F1297" s="19" t="str">
        <x:v>可能为阵列/多通道die，非精确封装颗数</x:v>
      </x:c>
    </x:row>
    <x:row r="1298" ht="15" hidden="0" customHeight="1">
      <x:c r="A1298" s="19" t="str">
        <x:v>3200-CPO-8FR4-EXT-8PMF</x:v>
      </x:c>
      <x:c r="B1298" s="19" t="str">
        <x:v>C025</x:v>
      </x:c>
      <x:c r="C1298" s="19" t="n">
        <x:v>1</x:v>
      </x:c>
      <x:c r="D1298" s="19" t="str">
        <x:v>必需</x:v>
      </x:c>
      <x:c r="E1298" s="19" t="str">
        <x:v>PIC级</x:v>
      </x:c>
      <x:c r="F1298" s="19" t="str">
        <x:v>具体是否MZM或MRR需供应商证据</x:v>
      </x:c>
    </x:row>
    <x:row r="1299" ht="15" hidden="0" customHeight="1">
      <x:c r="A1299" s="19" t="str">
        <x:v>3200-CPO-8FR4-EXT-8PMF</x:v>
      </x:c>
      <x:c r="B1299" s="19" t="str">
        <x:v>C026</x:v>
      </x:c>
      <x:c r="C1299" s="19" t="n">
        <x:v>32</x:v>
      </x:c>
      <x:c r="D1299" s="19" t="str">
        <x:v>代表性</x:v>
      </x:c>
      <x:c r="E1299" s="19" t="str">
        <x:v>微结构</x:v>
      </x:c>
      <x:c r="F1299" s="19" t="str">
        <x:v>默认以MZM表示，若厂商披露MRR应改用C027</x:v>
      </x:c>
    </x:row>
    <x:row r="1300" ht="15" hidden="0" customHeight="1">
      <x:c r="A1300" s="19" t="str">
        <x:v>3200-CPO-8FR4-EXT-8PMF</x:v>
      </x:c>
      <x:c r="B1300" s="19" t="str">
        <x:v>C028</x:v>
      </x:c>
      <x:c r="C1300" s="19" t="n">
        <x:v>32</x:v>
      </x:c>
      <x:c r="D1300" s="19" t="str">
        <x:v>内嵌</x:v>
      </x:c>
      <x:c r="E1300" s="19" t="str">
        <x:v>微结构</x:v>
      </x:c>
      <x:c r="F1300" s="19" t="str">
        <x:v>相移器</x:v>
      </x:c>
    </x:row>
    <x:row r="1301" ht="15" hidden="0" customHeight="1">
      <x:c r="A1301" s="19" t="str">
        <x:v>3200-CPO-8FR4-EXT-8PMF</x:v>
      </x:c>
      <x:c r="B1301" s="19" t="str">
        <x:v>C029</x:v>
      </x:c>
      <x:c r="C1301" s="19" t="n">
        <x:v>32</x:v>
      </x:c>
      <x:c r="D1301" s="19" t="str">
        <x:v>内嵌</x:v>
      </x:c>
      <x:c r="E1301" s="19" t="str">
        <x:v>微结构</x:v>
      </x:c>
      <x:c r="F1301" s="19" t="str">
        <x:v>片上光路</x:v>
      </x:c>
    </x:row>
    <x:row r="1302" ht="15" hidden="0" customHeight="1">
      <x:c r="A1302" s="19" t="str">
        <x:v>3200-CPO-8FR4-EXT-8PMF</x:v>
      </x:c>
      <x:c r="B1302" s="19" t="str">
        <x:v>C064</x:v>
      </x:c>
      <x:c r="C1302" s="19" t="n">
        <x:v>1</x:v>
      </x:c>
      <x:c r="D1302" s="19" t="str">
        <x:v>按实现</x:v>
      </x:c>
      <x:c r="E1302" s="19" t="str">
        <x:v>微结构</x:v>
      </x:c>
      <x:c r="F1302" s="19" t="str">
        <x:v>偏振管理</x:v>
      </x:c>
    </x:row>
    <x:row r="1303" ht="15" hidden="0" customHeight="1">
      <x:c r="A1303" s="19" t="str">
        <x:v>3200-CPO-8FR4-EXT-8PMF</x:v>
      </x:c>
      <x:c r="B1303" s="19" t="str">
        <x:v>C065</x:v>
      </x:c>
      <x:c r="C1303" s="19" t="n">
        <x:v>1</x:v>
      </x:c>
      <x:c r="D1303" s="19" t="str">
        <x:v>按实现</x:v>
      </x:c>
      <x:c r="E1303" s="19" t="str">
        <x:v>微结构</x:v>
      </x:c>
      <x:c r="F1303" s="19" t="str">
        <x:v>抽光监控</x:v>
      </x:c>
    </x:row>
    <x:row r="1304" ht="15" hidden="0" customHeight="1">
      <x:c r="A1304" s="19" t="str">
        <x:v>3200-CPO-8FR4-EXT-8PMF</x:v>
      </x:c>
      <x:c r="B1304" s="19" t="str">
        <x:v>C066</x:v>
      </x:c>
      <x:c r="C1304" s="19" t="n">
        <x:v>1</x:v>
      </x:c>
      <x:c r="D1304" s="19" t="str">
        <x:v>按实现</x:v>
      </x:c>
      <x:c r="E1304" s="19" t="str">
        <x:v>微结构</x:v>
      </x:c>
      <x:c r="F1304" s="19" t="str">
        <x:v>微环/AWG/滤波结构热调谐</x:v>
      </x:c>
    </x:row>
    <x:row r="1305" ht="15" hidden="0" customHeight="1">
      <x:c r="A1305" s="19" t="str">
        <x:v>3200-CPO-8FR4-EXT-8PMF</x:v>
      </x:c>
      <x:c r="B1305" s="19" t="str">
        <x:v>C030</x:v>
      </x:c>
      <x:c r="C1305" s="19" t="n">
        <x:v>32</x:v>
      </x:c>
      <x:c r="D1305" s="19" t="str">
        <x:v>必需</x:v>
      </x:c>
      <x:c r="E1305" s="19" t="str">
        <x:v>光通道</x:v>
      </x:c>
      <x:c r="F1305" s="19" t="str">
        <x:v>PIN/GeSi</x:v>
      </x:c>
    </x:row>
    <x:row r="1306" ht="15" hidden="0" customHeight="1">
      <x:c r="A1306" s="19" t="str">
        <x:v>3200-CPO-8FR4-EXT-8PMF</x:v>
      </x:c>
      <x:c r="B1306" s="19" t="str">
        <x:v>C039</x:v>
      </x:c>
      <x:c r="C1306" s="19" t="n">
        <x:v>32</x:v>
      </x:c>
      <x:c r="D1306" s="19" t="str">
        <x:v>二选一</x:v>
      </x:c>
      <x:c r="E1306" s="19" t="str">
        <x:v>耦合方式</x:v>
      </x:c>
      <x:c r="F1306" s="19" t="str">
        <x:v>与边缘耦合器二选一或混用</x:v>
      </x:c>
    </x:row>
    <x:row r="1307" ht="15" hidden="0" customHeight="1">
      <x:c r="A1307" s="19" t="str">
        <x:v>3200-CPO-8FR4-EXT-8PMF</x:v>
      </x:c>
      <x:c r="B1307" s="19" t="str">
        <x:v>C040</x:v>
      </x:c>
      <x:c r="C1307" s="19" t="n">
        <x:v>32</x:v>
      </x:c>
      <x:c r="D1307" s="19" t="str">
        <x:v>二选一</x:v>
      </x:c>
      <x:c r="E1307" s="19" t="str">
        <x:v>耦合方式</x:v>
      </x:c>
      <x:c r="F1307" s="19" t="str">
        <x:v>与光栅耦合器二选一或混用</x:v>
      </x:c>
    </x:row>
    <x:row r="1308" ht="15" hidden="0" customHeight="1">
      <x:c r="A1308" s="19" t="str">
        <x:v>3200-CPO-8FR4-EXT-8PMF</x:v>
      </x:c>
      <x:c r="B1308" s="19" t="str">
        <x:v>C024</x:v>
      </x:c>
      <x:c r="C1308" s="19" t="n">
        <x:v>1</x:v>
      </x:c>
      <x:c r="D1308" s="19" t="str">
        <x:v>必需</x:v>
      </x:c>
      <x:c r="E1308" s="19" t="str">
        <x:v>系统级</x:v>
      </x:c>
      <x:c r="F1308" s="19" t="str">
        <x:v>ELSFP/外置激光源</x:v>
      </x:c>
    </x:row>
    <x:row r="1309" ht="15" hidden="0" customHeight="1">
      <x:c r="A1309" s="19" t="str">
        <x:v>3200-CPO-8FR4-EXT-8PMF</x:v>
      </x:c>
      <x:c r="B1309" s="19" t="str">
        <x:v>C041</x:v>
      </x:c>
      <x:c r="C1309" s="19" t="n">
        <x:v>1</x:v>
      </x:c>
      <x:c r="D1309" s="19" t="str">
        <x:v>必需</x:v>
      </x:c>
      <x:c r="E1309" s="19" t="str">
        <x:v>系统级</x:v>
      </x:c>
      <x:c r="F1309" s="19" t="str">
        <x:v>激光功率分配</x:v>
      </x:c>
    </x:row>
    <x:row r="1310" ht="15" hidden="0" customHeight="1">
      <x:c r="A1310" s="19" t="str">
        <x:v>3200-CPO-8FR4-EXT-8PMF</x:v>
      </x:c>
      <x:c r="B1310" s="19" t="str">
        <x:v>C051</x:v>
      </x:c>
      <x:c r="C1310" s="19" t="n">
        <x:v>32</x:v>
      </x:c>
      <x:c r="D1310" s="19" t="str">
        <x:v>按实现</x:v>
      </x:c>
      <x:c r="E1310" s="19" t="str">
        <x:v>系统级</x:v>
      </x:c>
      <x:c r="F1310" s="19" t="str">
        <x:v>外置激光到PIC的偏振管理</x:v>
      </x:c>
    </x:row>
    <x:row r="1311" ht="15" hidden="0" customHeight="1">
      <x:c r="A1311" s="19" t="str">
        <x:v>3200-CPO-8FR4-EXT-8PMF</x:v>
      </x:c>
      <x:c r="B1311" s="19" t="str">
        <x:v>C049</x:v>
      </x:c>
      <x:c r="C1311" s="19" t="n">
        <x:v>32</x:v>
      </x:c>
      <x:c r="D1311" s="19" t="str">
        <x:v>必需</x:v>
      </x:c>
      <x:c r="E1311" s="19" t="str">
        <x:v>光纤通道</x:v>
      </x:c>
      <x:c r="F1311" s="19" t="str">
        <x:v>SMF</x:v>
      </x:c>
    </x:row>
    <x:row r="1312" ht="15" hidden="0" customHeight="1">
      <x:c r="A1312" s="19" t="str">
        <x:v>3200-CPO-8FR4-EXT-8PMF</x:v>
      </x:c>
      <x:c r="B1312" s="19" t="str">
        <x:v>C034</x:v>
      </x:c>
      <x:c r="C1312" s="19" t="n">
        <x:v>8</x:v>
      </x:c>
      <x:c r="D1312" s="19" t="str">
        <x:v>必需</x:v>
      </x:c>
      <x:c r="E1312" s="19" t="str">
        <x:v>端口/波分组</x:v>
      </x:c>
      <x:c r="F1312" s="19" t="str">
        <x:v>8组4λ CWDM</x:v>
      </x:c>
    </x:row>
    <x:row r="1313" ht="15" hidden="0" customHeight="1">
      <x:c r="A1313" s="19" t="str">
        <x:v>3200-CPO-8FR4-EXT-8PMF</x:v>
      </x:c>
      <x:c r="B1313" s="19" t="str">
        <x:v>C035</x:v>
      </x:c>
      <x:c r="C1313" s="19" t="n">
        <x:v>8</x:v>
      </x:c>
      <x:c r="D1313" s="19" t="str">
        <x:v>实现选项</x:v>
      </x:c>
      <x:c r="E1313" s="19" t="str">
        <x:v>微结构</x:v>
      </x:c>
      <x:c r="F1313" s="19" t="str">
        <x:v>AWG为MUX/DEMUX的一种实现</x:v>
      </x:c>
    </x:row>
    <x:row r="1314" ht="15" hidden="0" customHeight="1">
      <x:c r="A1314" s="19" t="str">
        <x:v>3200-CPO-8FR4-EXT-8PMF</x:v>
      </x:c>
      <x:c r="B1314" s="19" t="str">
        <x:v>C036</x:v>
      </x:c>
      <x:c r="C1314" s="19" t="n">
        <x:v>8</x:v>
      </x:c>
      <x:c r="D1314" s="19" t="str">
        <x:v>实现选项</x:v>
      </x:c>
      <x:c r="E1314" s="19" t="str">
        <x:v>微结构</x:v>
      </x:c>
      <x:c r="F1314" s="19" t="str">
        <x:v>TFF为MUX/DEMUX的另一种实现</x:v>
      </x:c>
    </x:row>
    <x:row r="1315" ht="15" hidden="0" customHeight="1">
      <x:c r="A1315" s="19" t="str">
        <x:v>3200-CPO-8FR4-EXT-8PMF</x:v>
      </x:c>
      <x:c r="B1315" s="19" t="str">
        <x:v>C037</x:v>
      </x:c>
      <x:c r="C1315" s="19" t="n">
        <x:v>32</x:v>
      </x:c>
      <x:c r="D1315" s="19" t="str">
        <x:v>按实现</x:v>
      </x:c>
      <x:c r="E1315" s="19" t="str">
        <x:v>光通道</x:v>
      </x:c>
      <x:c r="F1315" s="19" t="str">
        <x:v>自由空间/阵列耦合时使用</x:v>
      </x:c>
    </x:row>
    <x:row r="1316" ht="15" hidden="0" customHeight="1">
      <x:c r="A1316" s="19" t="str">
        <x:v>3200-CPO-8FR4-EXT-8PMF</x:v>
      </x:c>
      <x:c r="B1316" s="19" t="str">
        <x:v>C038</x:v>
      </x:c>
      <x:c r="C1316" s="19" t="n">
        <x:v>32</x:v>
      </x:c>
      <x:c r="D1316" s="19" t="str">
        <x:v>按实现</x:v>
      </x:c>
      <x:c r="E1316" s="19" t="str">
        <x:v>光通道</x:v>
      </x:c>
      <x:c r="F1316" s="19" t="str">
        <x:v>FAU可能按阵列封装，不等于单根数量</x:v>
      </x:c>
    </x:row>
    <x:row r="1317" ht="15" hidden="0" customHeight="1">
      <x:c r="A1317" s="19" t="str">
        <x:v>3200-CPO-8FR4-EXT-8PMF</x:v>
      </x:c>
      <x:c r="B1317" s="19" t="str">
        <x:v>C044</x:v>
      </x:c>
      <x:c r="C1317" s="19" t="n">
        <x:v>1</x:v>
      </x:c>
      <x:c r="D1317" s="19" t="str">
        <x:v>候选</x:v>
      </x:c>
      <x:c r="E1317" s="19" t="str">
        <x:v>标准未规定</x:v>
      </x:c>
      <x:c r="F1317" s="19" t="str">
        <x:v>IA未规定线路侧连接器；ELS输入8 PM fibers</x:v>
      </x:c>
    </x:row>
    <x:row r="1318" ht="15" hidden="0" customHeight="1">
      <x:c r="A1318" s="19" t="str">
        <x:v>3200-CPO-8FR4-EXT-8PMF</x:v>
      </x:c>
      <x:c r="B1318" s="19" t="str">
        <x:v>C047</x:v>
      </x:c>
      <x:c r="C1318" s="19" t="n">
        <x:v>1</x:v>
      </x:c>
      <x:c r="D1318" s="19" t="str">
        <x:v>候选</x:v>
      </x:c>
      <x:c r="E1318" s="19" t="str">
        <x:v>标准未规定</x:v>
      </x:c>
      <x:c r="F1318" s="19" t="str">
        <x:v>IA未规定线路侧连接器；ELS输入8 PM fibers</x:v>
      </x:c>
    </x:row>
    <x:row r="1319" ht="15" hidden="0" customHeight="1">
      <x:c r="A1319" s="19" t="str">
        <x:v>3200-CPO-8FR4-EXT-8PMF</x:v>
      </x:c>
      <x:c r="B1319" s="19" t="str">
        <x:v>C048</x:v>
      </x:c>
      <x:c r="C1319" s="19" t="n">
        <x:v>1</x:v>
      </x:c>
      <x:c r="D1319" s="19" t="str">
        <x:v>候选</x:v>
      </x:c>
      <x:c r="E1319" s="19" t="str">
        <x:v>标准未规定</x:v>
      </x:c>
      <x:c r="F1319" s="19" t="str">
        <x:v>IA未规定线路侧连接器；ELS输入8 PM fibers</x:v>
      </x:c>
    </x:row>
    <x:row r="1320" ht="15" hidden="0" customHeight="1">
      <x:c r="A1320" s="19" t="str">
        <x:v>3200-CPO-8FR4-EXT-8PMF</x:v>
      </x:c>
      <x:c r="B1320" s="19" t="str">
        <x:v>C053</x:v>
      </x:c>
      <x:c r="C1320" s="19" t="n">
        <x:v>1</x:v>
      </x:c>
      <x:c r="D1320" s="19" t="str">
        <x:v>必需</x:v>
      </x:c>
      <x:c r="E1320" s="19" t="str">
        <x:v>热管理</x:v>
      </x:c>
      <x:c r="F1320" s="19" t="str">
        <x:v>TIM</x:v>
      </x:c>
    </x:row>
    <x:row r="1321" ht="15" hidden="0" customHeight="1">
      <x:c r="A1321" s="19" t="str">
        <x:v>3200-CPO-8FR4-EXT-8PMF</x:v>
      </x:c>
      <x:c r="B1321" s="19" t="str">
        <x:v>C054</x:v>
      </x:c>
      <x:c r="C1321" s="19" t="n">
        <x:v>1</x:v>
      </x:c>
      <x:c r="D1321" s="19" t="str">
        <x:v>按实现</x:v>
      </x:c>
      <x:c r="E1321" s="19" t="str">
        <x:v>封装</x:v>
      </x:c>
      <x:c r="F1321" s="19" t="str">
        <x:v>光学胶/底填</x:v>
      </x:c>
    </x:row>
    <x:row r="1322" ht="15" hidden="0" customHeight="1">
      <x:c r="A1322" s="19" t="str">
        <x:v>3200-CPO-8FR4-EXT-4PMF</x:v>
      </x:c>
      <x:c r="B1322" s="19" t="str">
        <x:v>C001</x:v>
      </x:c>
      <x:c r="C1322" s="19" t="n">
        <x:v>1</x:v>
      </x:c>
      <x:c r="D1322" s="19" t="str">
        <x:v>必需</x:v>
      </x:c>
      <x:c r="E1322" s="19" t="str">
        <x:v>形态级</x:v>
      </x:c>
      <x:c r="F1322" s="19" t="str">
        <x:v>CPO Module</x:v>
      </x:c>
    </x:row>
    <x:row r="1323" ht="15" hidden="0" customHeight="1">
      <x:c r="A1323" s="19" t="str">
        <x:v>3200-CPO-8FR4-EXT-4PMF</x:v>
      </x:c>
      <x:c r="B1323" s="19" t="str">
        <x:v>C002</x:v>
      </x:c>
      <x:c r="C1323" s="19" t="n">
        <x:v>1</x:v>
      </x:c>
      <x:c r="D1323" s="19" t="str">
        <x:v>必需</x:v>
      </x:c>
      <x:c r="E1323" s="19" t="str">
        <x:v>形态级</x:v>
      </x:c>
      <x:c r="F1323" s="19" t="str">
        <x:v>散热能力需按功耗校核</x:v>
      </x:c>
    </x:row>
    <x:row r="1324" ht="15" hidden="0" customHeight="1">
      <x:c r="A1324" s="19" t="str">
        <x:v>3200-CPO-8FR4-EXT-4PMF</x:v>
      </x:c>
      <x:c r="B1324" s="19" t="str">
        <x:v>C003</x:v>
      </x:c>
      <x:c r="C1324" s="19" t="n">
        <x:v>1</x:v>
      </x:c>
      <x:c r="D1324" s="19" t="str">
        <x:v>不适用</x:v>
      </x:c>
      <x:c r="E1324" s="19" t="str">
        <x:v>形态级</x:v>
      </x:c>
      <x:c r="F1324" s="19" t="str">
        <x:v>CPO无传统前面板模块拉环</x:v>
      </x:c>
    </x:row>
    <x:row r="1325" ht="15" hidden="0" customHeight="1">
      <x:c r="A1325" s="19" t="str">
        <x:v>3200-CPO-8FR4-EXT-4PMF</x:v>
      </x:c>
      <x:c r="B1325" s="19" t="str">
        <x:v>C004</x:v>
      </x:c>
      <x:c r="C1325" s="19" t="n">
        <x:v>1</x:v>
      </x:c>
      <x:c r="D1325" s="19" t="str">
        <x:v>必需</x:v>
      </x:c>
      <x:c r="E1325" s="19" t="str">
        <x:v>代表性</x:v>
      </x:c>
      <x:c r="F1325" s="19" t="str">
        <x:v>EMI屏蔽结构依外壳设计</x:v>
      </x:c>
    </x:row>
    <x:row r="1326" ht="15" hidden="0" customHeight="1">
      <x:c r="A1326" s="19" t="str">
        <x:v>3200-CPO-8FR4-EXT-4PMF</x:v>
      </x:c>
      <x:c r="B1326" s="19" t="str">
        <x:v>C005</x:v>
      </x:c>
      <x:c r="C1326" s="19" t="n">
        <x:v>1</x:v>
      </x:c>
      <x:c r="D1326" s="19" t="str">
        <x:v>可选/系统级</x:v>
      </x:c>
      <x:c r="E1326" s="19" t="str">
        <x:v>代表性</x:v>
      </x:c>
      <x:c r="F1326" s="19" t="str">
        <x:v>CPO可采用封装基板+系统PCB</x:v>
      </x:c>
    </x:row>
    <x:row r="1327" ht="15" hidden="0" customHeight="1">
      <x:c r="A1327" s="19" t="str">
        <x:v>3200-CPO-8FR4-EXT-4PMF</x:v>
      </x:c>
      <x:c r="B1327" s="19" t="str">
        <x:v>C056</x:v>
      </x:c>
      <x:c r="C1327" s="19" t="n">
        <x:v>1</x:v>
      </x:c>
      <x:c r="D1327" s="19" t="str">
        <x:v>不适用</x:v>
      </x:c>
      <x:c r="E1327" s="19" t="str">
        <x:v>形态级</x:v>
      </x:c>
      <x:c r="F1327" s="19" t="str">
        <x:v>可插拔模块主机侧金手指/电连接器</x:v>
      </x:c>
    </x:row>
    <x:row r="1328" ht="15" hidden="0" customHeight="1">
      <x:c r="A1328" s="19" t="str">
        <x:v>3200-CPO-8FR4-EXT-4PMF</x:v>
      </x:c>
      <x:c r="B1328" s="19" t="str">
        <x:v>C057</x:v>
      </x:c>
      <x:c r="C1328" s="19" t="n">
        <x:v>1</x:v>
      </x:c>
      <x:c r="D1328" s="19" t="str">
        <x:v>不适用</x:v>
      </x:c>
      <x:c r="E1328" s="19" t="str">
        <x:v>系统级</x:v>
      </x:c>
      <x:c r="F1328" s="19" t="str">
        <x:v>cage不属于模块内采购BOM</x:v>
      </x:c>
    </x:row>
    <x:row r="1329" ht="15" hidden="0" customHeight="1">
      <x:c r="A1329" s="19" t="str">
        <x:v>3200-CPO-8FR4-EXT-4PMF</x:v>
      </x:c>
      <x:c r="B1329" s="19" t="str">
        <x:v>C007</x:v>
      </x:c>
      <x:c r="C1329" s="19" t="n">
        <x:v>1</x:v>
      </x:c>
      <x:c r="D1329" s="19" t="str">
        <x:v>必需</x:v>
      </x:c>
      <x:c r="E1329" s="19" t="str">
        <x:v>代表性</x:v>
      </x:c>
      <x:c r="F1329" s="19" t="str">
        <x:v>光引擎承载基板/Interposer</x:v>
      </x:c>
    </x:row>
    <x:row r="1330" ht="15" hidden="0" customHeight="1">
      <x:c r="A1330" s="19" t="str">
        <x:v>3200-CPO-8FR4-EXT-4PMF</x:v>
      </x:c>
      <x:c r="B1330" s="19" t="str">
        <x:v>C008</x:v>
      </x:c>
      <x:c r="C1330" s="19" t="n">
        <x:v>1</x:v>
      </x:c>
      <x:c r="D1330" s="19" t="str">
        <x:v>必需</x:v>
      </x:c>
      <x:c r="E1330" s="19" t="str">
        <x:v>代表性</x:v>
      </x:c>
      <x:c r="F1330" s="19" t="str">
        <x:v>数量按功耗域，不等于精确颗数</x:v>
      </x:c>
    </x:row>
    <x:row r="1331" ht="15" hidden="0" customHeight="1">
      <x:c r="A1331" s="19" t="str">
        <x:v>3200-CPO-8FR4-EXT-4PMF</x:v>
      </x:c>
      <x:c r="B1331" s="19" t="str">
        <x:v>C009</x:v>
      </x:c>
      <x:c r="C1331" s="19" t="n">
        <x:v>1</x:v>
      </x:c>
      <x:c r="D1331" s="19" t="str">
        <x:v>按实现</x:v>
      </x:c>
      <x:c r="E1331" s="19" t="str">
        <x:v>管理接口</x:v>
      </x:c>
      <x:c r="F1331" s="19" t="str">
        <x:v>可插拔模块使用CMIS管理</x:v>
      </x:c>
    </x:row>
    <x:row r="1332" ht="15" hidden="0" customHeight="1">
      <x:c r="A1332" s="19" t="str">
        <x:v>3200-CPO-8FR4-EXT-4PMF</x:v>
      </x:c>
      <x:c r="B1332" s="19" t="str">
        <x:v>C010</x:v>
      </x:c>
      <x:c r="C1332" s="19" t="n">
        <x:v>1</x:v>
      </x:c>
      <x:c r="D1332" s="19" t="str">
        <x:v>按实现</x:v>
      </x:c>
      <x:c r="E1332" s="19" t="str">
        <x:v>代表性</x:v>
      </x:c>
      <x:c r="F1332" s="19" t="str">
        <x:v>模块控制与校准</x:v>
      </x:c>
    </x:row>
    <x:row r="1333" ht="15" hidden="0" customHeight="1">
      <x:c r="A1333" s="19" t="str">
        <x:v>3200-CPO-8FR4-EXT-4PMF</x:v>
      </x:c>
      <x:c r="B1333" s="19" t="str">
        <x:v>C058</x:v>
      </x:c>
      <x:c r="C1333" s="19" t="n">
        <x:v>1</x:v>
      </x:c>
      <x:c r="D1333" s="19" t="str">
        <x:v>按实现</x:v>
      </x:c>
      <x:c r="E1333" s="19" t="str">
        <x:v>时钟架构</x:v>
      </x:c>
      <x:c r="F1333" s="19" t="str">
        <x:v>可由主机提供REFCLK或使用模块内时钟器件</x:v>
      </x:c>
    </x:row>
    <x:row r="1334" ht="15" hidden="0" customHeight="1">
      <x:c r="A1334" s="19" t="str">
        <x:v>3200-CPO-8FR4-EXT-4PMF</x:v>
      </x:c>
      <x:c r="B1334" s="19" t="str">
        <x:v>C059</x:v>
      </x:c>
      <x:c r="C1334" s="19" t="n">
        <x:v>1</x:v>
      </x:c>
      <x:c r="D1334" s="19" t="str">
        <x:v>必需/可集成</x:v>
      </x:c>
      <x:c r="E1334" s="19" t="str">
        <x:v>监控功能</x:v>
      </x:c>
      <x:c r="F1334" s="19" t="str">
        <x:v>CMIS/控制系统温度监测</x:v>
      </x:c>
    </x:row>
    <x:row r="1335" ht="15" hidden="0" customHeight="1">
      <x:c r="A1335" s="19" t="str">
        <x:v>3200-CPO-8FR4-EXT-4PMF</x:v>
      </x:c>
      <x:c r="B1335" s="19" t="str">
        <x:v>C060</x:v>
      </x:c>
      <x:c r="C1335" s="19" t="n">
        <x:v>1</x:v>
      </x:c>
      <x:c r="D1335" s="19" t="str">
        <x:v>必需</x:v>
      </x:c>
      <x:c r="E1335" s="19" t="str">
        <x:v>器件组</x:v>
      </x:c>
      <x:c r="F1335" s="19" t="str">
        <x:v>R/C/L数量不按lane数表示</x:v>
      </x:c>
    </x:row>
    <x:row r="1336" ht="15" hidden="0" customHeight="1">
      <x:c r="A1336" s="19" t="str">
        <x:v>3200-CPO-8FR4-EXT-4PMF</x:v>
      </x:c>
      <x:c r="B1336" s="19" t="str">
        <x:v>C062</x:v>
      </x:c>
      <x:c r="C1336" s="19" t="n">
        <x:v>1</x:v>
      </x:c>
      <x:c r="D1336" s="19" t="str">
        <x:v>按封装</x:v>
      </x:c>
      <x:c r="E1336" s="19" t="str">
        <x:v>互连工艺</x:v>
      </x:c>
      <x:c r="F1336" s="19" t="str">
        <x:v>flip-chip平台使用</x:v>
      </x:c>
    </x:row>
    <x:row r="1337" ht="15" hidden="0" customHeight="1">
      <x:c r="A1337" s="19" t="str">
        <x:v>3200-CPO-8FR4-EXT-4PMF</x:v>
      </x:c>
      <x:c r="B1337" s="19" t="str">
        <x:v>C063</x:v>
      </x:c>
      <x:c r="C1337" s="19" t="n">
        <x:v>1</x:v>
      </x:c>
      <x:c r="D1337" s="19" t="str">
        <x:v>按封装</x:v>
      </x:c>
      <x:c r="E1337" s="19" t="str">
        <x:v>互连工艺</x:v>
      </x:c>
      <x:c r="F1337" s="19" t="str">
        <x:v>wire/ribbon bond平台使用</x:v>
      </x:c>
    </x:row>
    <x:row r="1338" ht="15" hidden="0" customHeight="1">
      <x:c r="A1338" s="19" t="str">
        <x:v>3200-CPO-8FR4-EXT-4PMF</x:v>
      </x:c>
      <x:c r="B1338" s="19" t="str">
        <x:v>C011</x:v>
      </x:c>
      <x:c r="C1338" s="19" t="n">
        <x:v>1</x:v>
      </x:c>
      <x:c r="D1338" s="19" t="str">
        <x:v>必需</x:v>
      </x:c>
      <x:c r="E1338" s="19" t="str">
        <x:v>架构级</x:v>
      </x:c>
      <x:c r="F1338" s="19" t="str">
        <x:v>含DSP、Driver、TIA</x:v>
      </x:c>
    </x:row>
    <x:row r="1339" ht="15" hidden="0" customHeight="1">
      <x:c r="A1339" s="19" t="str">
        <x:v>3200-CPO-8FR4-EXT-4PMF</x:v>
      </x:c>
      <x:c r="B1339" s="19" t="str">
        <x:v>C012</x:v>
      </x:c>
      <x:c r="C1339" s="19" t="n">
        <x:v>1</x:v>
      </x:c>
      <x:c r="D1339" s="19" t="str">
        <x:v>必需</x:v>
      </x:c>
      <x:c r="E1339" s="19" t="str">
        <x:v>通道级</x:v>
      </x:c>
      <x:c r="F1339" s="19" t="str">
        <x:v>32×112G XSR→32×100G</x:v>
      </x:c>
    </x:row>
    <x:row r="1340" ht="15" hidden="0" customHeight="1">
      <x:c r="A1340" s="19" t="str">
        <x:v>3200-CPO-8FR4-EXT-4PMF</x:v>
      </x:c>
      <x:c r="B1340" s="19" t="str">
        <x:v>C014</x:v>
      </x:c>
      <x:c r="C1340" s="19" t="n">
        <x:v>32</x:v>
      </x:c>
      <x:c r="D1340" s="19" t="str">
        <x:v>必需</x:v>
      </x:c>
      <x:c r="E1340" s="19" t="str">
        <x:v>功能通道数</x:v>
      </x:c>
      <x:c r="F1340" s="19" t="str">
        <x:v>可能为阵列/多通道die，非精确封装颗数</x:v>
      </x:c>
    </x:row>
    <x:row r="1341" ht="15" hidden="0" customHeight="1">
      <x:c r="A1341" s="19" t="str">
        <x:v>3200-CPO-8FR4-EXT-4PMF</x:v>
      </x:c>
      <x:c r="B1341" s="19" t="str">
        <x:v>C015</x:v>
      </x:c>
      <x:c r="C1341" s="19" t="n">
        <x:v>32</x:v>
      </x:c>
      <x:c r="D1341" s="19" t="str">
        <x:v>必需</x:v>
      </x:c>
      <x:c r="E1341" s="19" t="str">
        <x:v>功能通道数</x:v>
      </x:c>
      <x:c r="F1341" s="19" t="str">
        <x:v>可能为阵列/多通道die，非精确封装颗数</x:v>
      </x:c>
    </x:row>
    <x:row r="1342" ht="15" hidden="0" customHeight="1">
      <x:c r="A1342" s="19" t="str">
        <x:v>3200-CPO-8FR4-EXT-4PMF</x:v>
      </x:c>
      <x:c r="B1342" s="19" t="str">
        <x:v>C025</x:v>
      </x:c>
      <x:c r="C1342" s="19" t="n">
        <x:v>1</x:v>
      </x:c>
      <x:c r="D1342" s="19" t="str">
        <x:v>必需</x:v>
      </x:c>
      <x:c r="E1342" s="19" t="str">
        <x:v>PIC级</x:v>
      </x:c>
      <x:c r="F1342" s="19" t="str">
        <x:v>具体是否MZM或MRR需供应商证据</x:v>
      </x:c>
    </x:row>
    <x:row r="1343" ht="15" hidden="0" customHeight="1">
      <x:c r="A1343" s="19" t="str">
        <x:v>3200-CPO-8FR4-EXT-4PMF</x:v>
      </x:c>
      <x:c r="B1343" s="19" t="str">
        <x:v>C026</x:v>
      </x:c>
      <x:c r="C1343" s="19" t="n">
        <x:v>32</x:v>
      </x:c>
      <x:c r="D1343" s="19" t="str">
        <x:v>代表性</x:v>
      </x:c>
      <x:c r="E1343" s="19" t="str">
        <x:v>微结构</x:v>
      </x:c>
      <x:c r="F1343" s="19" t="str">
        <x:v>默认以MZM表示，若厂商披露MRR应改用C027</x:v>
      </x:c>
    </x:row>
    <x:row r="1344" ht="15" hidden="0" customHeight="1">
      <x:c r="A1344" s="19" t="str">
        <x:v>3200-CPO-8FR4-EXT-4PMF</x:v>
      </x:c>
      <x:c r="B1344" s="19" t="str">
        <x:v>C028</x:v>
      </x:c>
      <x:c r="C1344" s="19" t="n">
        <x:v>32</x:v>
      </x:c>
      <x:c r="D1344" s="19" t="str">
        <x:v>内嵌</x:v>
      </x:c>
      <x:c r="E1344" s="19" t="str">
        <x:v>微结构</x:v>
      </x:c>
      <x:c r="F1344" s="19" t="str">
        <x:v>相移器</x:v>
      </x:c>
    </x:row>
    <x:row r="1345" ht="15" hidden="0" customHeight="1">
      <x:c r="A1345" s="19" t="str">
        <x:v>3200-CPO-8FR4-EXT-4PMF</x:v>
      </x:c>
      <x:c r="B1345" s="19" t="str">
        <x:v>C029</x:v>
      </x:c>
      <x:c r="C1345" s="19" t="n">
        <x:v>32</x:v>
      </x:c>
      <x:c r="D1345" s="19" t="str">
        <x:v>内嵌</x:v>
      </x:c>
      <x:c r="E1345" s="19" t="str">
        <x:v>微结构</x:v>
      </x:c>
      <x:c r="F1345" s="19" t="str">
        <x:v>片上光路</x:v>
      </x:c>
    </x:row>
    <x:row r="1346" ht="15" hidden="0" customHeight="1">
      <x:c r="A1346" s="19" t="str">
        <x:v>3200-CPO-8FR4-EXT-4PMF</x:v>
      </x:c>
      <x:c r="B1346" s="19" t="str">
        <x:v>C064</x:v>
      </x:c>
      <x:c r="C1346" s="19" t="n">
        <x:v>1</x:v>
      </x:c>
      <x:c r="D1346" s="19" t="str">
        <x:v>按实现</x:v>
      </x:c>
      <x:c r="E1346" s="19" t="str">
        <x:v>微结构</x:v>
      </x:c>
      <x:c r="F1346" s="19" t="str">
        <x:v>偏振管理</x:v>
      </x:c>
    </x:row>
    <x:row r="1347" ht="15" hidden="0" customHeight="1">
      <x:c r="A1347" s="19" t="str">
        <x:v>3200-CPO-8FR4-EXT-4PMF</x:v>
      </x:c>
      <x:c r="B1347" s="19" t="str">
        <x:v>C065</x:v>
      </x:c>
      <x:c r="C1347" s="19" t="n">
        <x:v>1</x:v>
      </x:c>
      <x:c r="D1347" s="19" t="str">
        <x:v>按实现</x:v>
      </x:c>
      <x:c r="E1347" s="19" t="str">
        <x:v>微结构</x:v>
      </x:c>
      <x:c r="F1347" s="19" t="str">
        <x:v>抽光监控</x:v>
      </x:c>
    </x:row>
    <x:row r="1348" ht="15" hidden="0" customHeight="1">
      <x:c r="A1348" s="19" t="str">
        <x:v>3200-CPO-8FR4-EXT-4PMF</x:v>
      </x:c>
      <x:c r="B1348" s="19" t="str">
        <x:v>C066</x:v>
      </x:c>
      <x:c r="C1348" s="19" t="n">
        <x:v>1</x:v>
      </x:c>
      <x:c r="D1348" s="19" t="str">
        <x:v>按实现</x:v>
      </x:c>
      <x:c r="E1348" s="19" t="str">
        <x:v>微结构</x:v>
      </x:c>
      <x:c r="F1348" s="19" t="str">
        <x:v>微环/AWG/滤波结构热调谐</x:v>
      </x:c>
    </x:row>
    <x:row r="1349" ht="15" hidden="0" customHeight="1">
      <x:c r="A1349" s="19" t="str">
        <x:v>3200-CPO-8FR4-EXT-4PMF</x:v>
      </x:c>
      <x:c r="B1349" s="19" t="str">
        <x:v>C030</x:v>
      </x:c>
      <x:c r="C1349" s="19" t="n">
        <x:v>32</x:v>
      </x:c>
      <x:c r="D1349" s="19" t="str">
        <x:v>必需</x:v>
      </x:c>
      <x:c r="E1349" s="19" t="str">
        <x:v>光通道</x:v>
      </x:c>
      <x:c r="F1349" s="19" t="str">
        <x:v>PIN/GeSi</x:v>
      </x:c>
    </x:row>
    <x:row r="1350" ht="15" hidden="0" customHeight="1">
      <x:c r="A1350" s="19" t="str">
        <x:v>3200-CPO-8FR4-EXT-4PMF</x:v>
      </x:c>
      <x:c r="B1350" s="19" t="str">
        <x:v>C039</x:v>
      </x:c>
      <x:c r="C1350" s="19" t="n">
        <x:v>32</x:v>
      </x:c>
      <x:c r="D1350" s="19" t="str">
        <x:v>二选一</x:v>
      </x:c>
      <x:c r="E1350" s="19" t="str">
        <x:v>耦合方式</x:v>
      </x:c>
      <x:c r="F1350" s="19" t="str">
        <x:v>与边缘耦合器二选一或混用</x:v>
      </x:c>
    </x:row>
    <x:row r="1351" ht="15" hidden="0" customHeight="1">
      <x:c r="A1351" s="19" t="str">
        <x:v>3200-CPO-8FR4-EXT-4PMF</x:v>
      </x:c>
      <x:c r="B1351" s="19" t="str">
        <x:v>C040</x:v>
      </x:c>
      <x:c r="C1351" s="19" t="n">
        <x:v>32</x:v>
      </x:c>
      <x:c r="D1351" s="19" t="str">
        <x:v>二选一</x:v>
      </x:c>
      <x:c r="E1351" s="19" t="str">
        <x:v>耦合方式</x:v>
      </x:c>
      <x:c r="F1351" s="19" t="str">
        <x:v>与光栅耦合器二选一或混用</x:v>
      </x:c>
    </x:row>
    <x:row r="1352" ht="15" hidden="0" customHeight="1">
      <x:c r="A1352" s="19" t="str">
        <x:v>3200-CPO-8FR4-EXT-4PMF</x:v>
      </x:c>
      <x:c r="B1352" s="19" t="str">
        <x:v>C024</x:v>
      </x:c>
      <x:c r="C1352" s="19" t="n">
        <x:v>1</x:v>
      </x:c>
      <x:c r="D1352" s="19" t="str">
        <x:v>必需</x:v>
      </x:c>
      <x:c r="E1352" s="19" t="str">
        <x:v>系统级</x:v>
      </x:c>
      <x:c r="F1352" s="19" t="str">
        <x:v>ELSFP/外置激光源</x:v>
      </x:c>
    </x:row>
    <x:row r="1353" ht="15" hidden="0" customHeight="1">
      <x:c r="A1353" s="19" t="str">
        <x:v>3200-CPO-8FR4-EXT-4PMF</x:v>
      </x:c>
      <x:c r="B1353" s="19" t="str">
        <x:v>C041</x:v>
      </x:c>
      <x:c r="C1353" s="19" t="n">
        <x:v>1</x:v>
      </x:c>
      <x:c r="D1353" s="19" t="str">
        <x:v>必需</x:v>
      </x:c>
      <x:c r="E1353" s="19" t="str">
        <x:v>系统级</x:v>
      </x:c>
      <x:c r="F1353" s="19" t="str">
        <x:v>激光功率分配</x:v>
      </x:c>
    </x:row>
    <x:row r="1354" ht="15" hidden="0" customHeight="1">
      <x:c r="A1354" s="19" t="str">
        <x:v>3200-CPO-8FR4-EXT-4PMF</x:v>
      </x:c>
      <x:c r="B1354" s="19" t="str">
        <x:v>C051</x:v>
      </x:c>
      <x:c r="C1354" s="19" t="n">
        <x:v>32</x:v>
      </x:c>
      <x:c r="D1354" s="19" t="str">
        <x:v>按实现</x:v>
      </x:c>
      <x:c r="E1354" s="19" t="str">
        <x:v>系统级</x:v>
      </x:c>
      <x:c r="F1354" s="19" t="str">
        <x:v>外置激光到PIC的偏振管理</x:v>
      </x:c>
    </x:row>
    <x:row r="1355" ht="15" hidden="0" customHeight="1">
      <x:c r="A1355" s="19" t="str">
        <x:v>3200-CPO-8FR4-EXT-4PMF</x:v>
      </x:c>
      <x:c r="B1355" s="19" t="str">
        <x:v>C049</x:v>
      </x:c>
      <x:c r="C1355" s="19" t="n">
        <x:v>32</x:v>
      </x:c>
      <x:c r="D1355" s="19" t="str">
        <x:v>必需</x:v>
      </x:c>
      <x:c r="E1355" s="19" t="str">
        <x:v>光纤通道</x:v>
      </x:c>
      <x:c r="F1355" s="19" t="str">
        <x:v>SMF</x:v>
      </x:c>
    </x:row>
    <x:row r="1356" ht="15" hidden="0" customHeight="1">
      <x:c r="A1356" s="19" t="str">
        <x:v>3200-CPO-8FR4-EXT-4PMF</x:v>
      </x:c>
      <x:c r="B1356" s="19" t="str">
        <x:v>C034</x:v>
      </x:c>
      <x:c r="C1356" s="19" t="n">
        <x:v>8</x:v>
      </x:c>
      <x:c r="D1356" s="19" t="str">
        <x:v>必需</x:v>
      </x:c>
      <x:c r="E1356" s="19" t="str">
        <x:v>端口/波分组</x:v>
      </x:c>
      <x:c r="F1356" s="19" t="str">
        <x:v>8组4λ CWDM</x:v>
      </x:c>
    </x:row>
    <x:row r="1357" ht="15" hidden="0" customHeight="1">
      <x:c r="A1357" s="19" t="str">
        <x:v>3200-CPO-8FR4-EXT-4PMF</x:v>
      </x:c>
      <x:c r="B1357" s="19" t="str">
        <x:v>C035</x:v>
      </x:c>
      <x:c r="C1357" s="19" t="n">
        <x:v>8</x:v>
      </x:c>
      <x:c r="D1357" s="19" t="str">
        <x:v>实现选项</x:v>
      </x:c>
      <x:c r="E1357" s="19" t="str">
        <x:v>微结构</x:v>
      </x:c>
      <x:c r="F1357" s="19" t="str">
        <x:v>AWG为MUX/DEMUX的一种实现</x:v>
      </x:c>
    </x:row>
    <x:row r="1358" ht="15" hidden="0" customHeight="1">
      <x:c r="A1358" s="19" t="str">
        <x:v>3200-CPO-8FR4-EXT-4PMF</x:v>
      </x:c>
      <x:c r="B1358" s="19" t="str">
        <x:v>C036</x:v>
      </x:c>
      <x:c r="C1358" s="19" t="n">
        <x:v>8</x:v>
      </x:c>
      <x:c r="D1358" s="19" t="str">
        <x:v>实现选项</x:v>
      </x:c>
      <x:c r="E1358" s="19" t="str">
        <x:v>微结构</x:v>
      </x:c>
      <x:c r="F1358" s="19" t="str">
        <x:v>TFF为MUX/DEMUX的另一种实现</x:v>
      </x:c>
    </x:row>
    <x:row r="1359" ht="15" hidden="0" customHeight="1">
      <x:c r="A1359" s="19" t="str">
        <x:v>3200-CPO-8FR4-EXT-4PMF</x:v>
      </x:c>
      <x:c r="B1359" s="19" t="str">
        <x:v>C037</x:v>
      </x:c>
      <x:c r="C1359" s="19" t="n">
        <x:v>32</x:v>
      </x:c>
      <x:c r="D1359" s="19" t="str">
        <x:v>按实现</x:v>
      </x:c>
      <x:c r="E1359" s="19" t="str">
        <x:v>光通道</x:v>
      </x:c>
      <x:c r="F1359" s="19" t="str">
        <x:v>自由空间/阵列耦合时使用</x:v>
      </x:c>
    </x:row>
    <x:row r="1360" ht="15" hidden="0" customHeight="1">
      <x:c r="A1360" s="19" t="str">
        <x:v>3200-CPO-8FR4-EXT-4PMF</x:v>
      </x:c>
      <x:c r="B1360" s="19" t="str">
        <x:v>C038</x:v>
      </x:c>
      <x:c r="C1360" s="19" t="n">
        <x:v>32</x:v>
      </x:c>
      <x:c r="D1360" s="19" t="str">
        <x:v>按实现</x:v>
      </x:c>
      <x:c r="E1360" s="19" t="str">
        <x:v>光通道</x:v>
      </x:c>
      <x:c r="F1360" s="19" t="str">
        <x:v>FAU可能按阵列封装，不等于单根数量</x:v>
      </x:c>
    </x:row>
    <x:row r="1361" ht="15" hidden="0" customHeight="1">
      <x:c r="A1361" s="19" t="str">
        <x:v>3200-CPO-8FR4-EXT-4PMF</x:v>
      </x:c>
      <x:c r="B1361" s="19" t="str">
        <x:v>C044</x:v>
      </x:c>
      <x:c r="C1361" s="19" t="n">
        <x:v>1</x:v>
      </x:c>
      <x:c r="D1361" s="19" t="str">
        <x:v>候选</x:v>
      </x:c>
      <x:c r="E1361" s="19" t="str">
        <x:v>标准未规定</x:v>
      </x:c>
      <x:c r="F1361" s="19" t="str">
        <x:v>IA未规定线路侧连接器；ELS输入4 PM fibers</x:v>
      </x:c>
    </x:row>
    <x:row r="1362" ht="15" hidden="0" customHeight="1">
      <x:c r="A1362" s="19" t="str">
        <x:v>3200-CPO-8FR4-EXT-4PMF</x:v>
      </x:c>
      <x:c r="B1362" s="19" t="str">
        <x:v>C047</x:v>
      </x:c>
      <x:c r="C1362" s="19" t="n">
        <x:v>1</x:v>
      </x:c>
      <x:c r="D1362" s="19" t="str">
        <x:v>候选</x:v>
      </x:c>
      <x:c r="E1362" s="19" t="str">
        <x:v>标准未规定</x:v>
      </x:c>
      <x:c r="F1362" s="19" t="str">
        <x:v>IA未规定线路侧连接器；ELS输入4 PM fibers</x:v>
      </x:c>
    </x:row>
    <x:row r="1363" ht="15" hidden="0" customHeight="1">
      <x:c r="A1363" s="19" t="str">
        <x:v>3200-CPO-8FR4-EXT-4PMF</x:v>
      </x:c>
      <x:c r="B1363" s="19" t="str">
        <x:v>C048</x:v>
      </x:c>
      <x:c r="C1363" s="19" t="n">
        <x:v>1</x:v>
      </x:c>
      <x:c r="D1363" s="19" t="str">
        <x:v>候选</x:v>
      </x:c>
      <x:c r="E1363" s="19" t="str">
        <x:v>标准未规定</x:v>
      </x:c>
      <x:c r="F1363" s="19" t="str">
        <x:v>IA未规定线路侧连接器；ELS输入4 PM fibers</x:v>
      </x:c>
    </x:row>
    <x:row r="1364" ht="15" hidden="0" customHeight="1">
      <x:c r="A1364" s="19" t="str">
        <x:v>3200-CPO-8FR4-EXT-4PMF</x:v>
      </x:c>
      <x:c r="B1364" s="19" t="str">
        <x:v>C053</x:v>
      </x:c>
      <x:c r="C1364" s="19" t="n">
        <x:v>1</x:v>
      </x:c>
      <x:c r="D1364" s="19" t="str">
        <x:v>必需</x:v>
      </x:c>
      <x:c r="E1364" s="19" t="str">
        <x:v>热管理</x:v>
      </x:c>
      <x:c r="F1364" s="19" t="str">
        <x:v>TIM</x:v>
      </x:c>
    </x:row>
    <x:row r="1365" ht="15" hidden="0" customHeight="1">
      <x:c r="A1365" s="19" t="str">
        <x:v>3200-CPO-8FR4-EXT-4PMF</x:v>
      </x:c>
      <x:c r="B1365" s="19" t="str">
        <x:v>C054</x:v>
      </x:c>
      <x:c r="C1365" s="19" t="n">
        <x:v>1</x:v>
      </x:c>
      <x:c r="D1365" s="19" t="str">
        <x:v>按实现</x:v>
      </x:c>
      <x:c r="E1365" s="19" t="str">
        <x:v>封装</x:v>
      </x:c>
      <x:c r="F1365" s="19" t="str">
        <x:v>光学胶/底填</x:v>
      </x:c>
    </x:row>
    <x:row r="1366" ht="15" hidden="0" customHeight="1">
      <x:c r="A1366" s="19" t="str">
        <x:v>3200-OSFPXD-DR-RETIMED</x:v>
      </x:c>
      <x:c r="B1366" s="19" t="str">
        <x:v>C001</x:v>
      </x:c>
      <x:c r="C1366" s="19" t="n">
        <x:v>1</x:v>
      </x:c>
      <x:c r="D1366" s="19" t="str">
        <x:v>必需</x:v>
      </x:c>
      <x:c r="E1366" s="19" t="str">
        <x:v>形态级</x:v>
      </x:c>
      <x:c r="F1366" s="19" t="str">
        <x:v>OSFP-XD</x:v>
      </x:c>
    </x:row>
    <x:row r="1367" ht="15" hidden="0" customHeight="1">
      <x:c r="A1367" s="19" t="str">
        <x:v>3200-OSFPXD-DR-RETIMED</x:v>
      </x:c>
      <x:c r="B1367" s="19" t="str">
        <x:v>C002</x:v>
      </x:c>
      <x:c r="C1367" s="19" t="n">
        <x:v>1</x:v>
      </x:c>
      <x:c r="D1367" s="19" t="str">
        <x:v>必需</x:v>
      </x:c>
      <x:c r="E1367" s="19" t="str">
        <x:v>形态级</x:v>
      </x:c>
      <x:c r="F1367" s="19" t="str">
        <x:v>散热能力需按功耗校核</x:v>
      </x:c>
    </x:row>
    <x:row r="1368" ht="15" hidden="0" customHeight="1">
      <x:c r="A1368" s="19" t="str">
        <x:v>3200-OSFPXD-DR-RETIMED</x:v>
      </x:c>
      <x:c r="B1368" s="19" t="str">
        <x:v>C003</x:v>
      </x:c>
      <x:c r="C1368" s="19" t="n">
        <x:v>1</x:v>
      </x:c>
      <x:c r="D1368" s="19" t="str">
        <x:v>必需</x:v>
      </x:c>
      <x:c r="E1368" s="19" t="str">
        <x:v>形态级</x:v>
      </x:c>
      <x:c r="F1368" s="19" t="str">
        <x:v>CPO无传统前面板模块拉环</x:v>
      </x:c>
    </x:row>
    <x:row r="1369" ht="15" hidden="0" customHeight="1">
      <x:c r="A1369" s="19" t="str">
        <x:v>3200-OSFPXD-DR-RETIMED</x:v>
      </x:c>
      <x:c r="B1369" s="19" t="str">
        <x:v>C004</x:v>
      </x:c>
      <x:c r="C1369" s="19" t="n">
        <x:v>1</x:v>
      </x:c>
      <x:c r="D1369" s="19" t="str">
        <x:v>必需</x:v>
      </x:c>
      <x:c r="E1369" s="19" t="str">
        <x:v>代表性</x:v>
      </x:c>
      <x:c r="F1369" s="19" t="str">
        <x:v>EMI屏蔽结构依外壳设计</x:v>
      </x:c>
    </x:row>
    <x:row r="1370" ht="15" hidden="0" customHeight="1">
      <x:c r="A1370" s="19" t="str">
        <x:v>3200-OSFPXD-DR-RETIMED</x:v>
      </x:c>
      <x:c r="B1370" s="19" t="str">
        <x:v>C005</x:v>
      </x:c>
      <x:c r="C1370" s="19" t="n">
        <x:v>1</x:v>
      </x:c>
      <x:c r="D1370" s="19" t="str">
        <x:v>必需</x:v>
      </x:c>
      <x:c r="E1370" s="19" t="str">
        <x:v>代表性</x:v>
      </x:c>
      <x:c r="F1370" s="19" t="str">
        <x:v>CPO可采用封装基板+系统PCB</x:v>
      </x:c>
    </x:row>
    <x:row r="1371" ht="15" hidden="0" customHeight="1">
      <x:c r="A1371" s="19" t="str">
        <x:v>3200-OSFPXD-DR-RETIMED</x:v>
      </x:c>
      <x:c r="B1371" s="19" t="str">
        <x:v>C056</x:v>
      </x:c>
      <x:c r="C1371" s="19" t="n">
        <x:v>1</x:v>
      </x:c>
      <x:c r="D1371" s="19" t="str">
        <x:v>必需</x:v>
      </x:c>
      <x:c r="E1371" s="19" t="str">
        <x:v>形态级</x:v>
      </x:c>
      <x:c r="F1371" s="19" t="str">
        <x:v>可插拔模块主机侧金手指/电连接器</x:v>
      </x:c>
    </x:row>
    <x:row r="1372" ht="15" hidden="0" customHeight="1">
      <x:c r="A1372" s="19" t="str">
        <x:v>3200-OSFPXD-DR-RETIMED</x:v>
      </x:c>
      <x:c r="B1372" s="19" t="str">
        <x:v>C057</x:v>
      </x:c>
      <x:c r="C1372" s="19" t="n">
        <x:v>1</x:v>
      </x:c>
      <x:c r="D1372" s="19" t="str">
        <x:v>系统配套</x:v>
      </x:c>
      <x:c r="E1372" s="19" t="str">
        <x:v>系统级</x:v>
      </x:c>
      <x:c r="F1372" s="19" t="str">
        <x:v>cage不属于模块内采购BOM</x:v>
      </x:c>
    </x:row>
    <x:row r="1373" ht="15" hidden="0" customHeight="1">
      <x:c r="A1373" s="19" t="str">
        <x:v>3200-OSFPXD-DR-RETIMED</x:v>
      </x:c>
      <x:c r="B1373" s="19" t="str">
        <x:v>C007</x:v>
      </x:c>
      <x:c r="C1373" s="19" t="n">
        <x:v>1</x:v>
      </x:c>
      <x:c r="D1373" s="19" t="str">
        <x:v>必需</x:v>
      </x:c>
      <x:c r="E1373" s="19" t="str">
        <x:v>代表性</x:v>
      </x:c>
      <x:c r="F1373" s="19" t="str">
        <x:v>光引擎承载基板/Interposer</x:v>
      </x:c>
    </x:row>
    <x:row r="1374" ht="15" hidden="0" customHeight="1">
      <x:c r="A1374" s="19" t="str">
        <x:v>3200-OSFPXD-DR-RETIMED</x:v>
      </x:c>
      <x:c r="B1374" s="19" t="str">
        <x:v>C008</x:v>
      </x:c>
      <x:c r="C1374" s="19" t="n">
        <x:v>1</x:v>
      </x:c>
      <x:c r="D1374" s="19" t="str">
        <x:v>必需</x:v>
      </x:c>
      <x:c r="E1374" s="19" t="str">
        <x:v>代表性</x:v>
      </x:c>
      <x:c r="F1374" s="19" t="str">
        <x:v>数量按功耗域，不等于精确颗数</x:v>
      </x:c>
    </x:row>
    <x:row r="1375" ht="15" hidden="0" customHeight="1">
      <x:c r="A1375" s="19" t="str">
        <x:v>3200-OSFPXD-DR-RETIMED</x:v>
      </x:c>
      <x:c r="B1375" s="19" t="str">
        <x:v>C009</x:v>
      </x:c>
      <x:c r="C1375" s="19" t="n">
        <x:v>1</x:v>
      </x:c>
      <x:c r="D1375" s="19" t="str">
        <x:v>必需</x:v>
      </x:c>
      <x:c r="E1375" s="19" t="str">
        <x:v>管理接口</x:v>
      </x:c>
      <x:c r="F1375" s="19" t="str">
        <x:v>可插拔模块使用CMIS管理</x:v>
      </x:c>
    </x:row>
    <x:row r="1376" ht="15" hidden="0" customHeight="1">
      <x:c r="A1376" s="19" t="str">
        <x:v>3200-OSFPXD-DR-RETIMED</x:v>
      </x:c>
      <x:c r="B1376" s="19" t="str">
        <x:v>C010</x:v>
      </x:c>
      <x:c r="C1376" s="19" t="n">
        <x:v>1</x:v>
      </x:c>
      <x:c r="D1376" s="19" t="str">
        <x:v>按实现</x:v>
      </x:c>
      <x:c r="E1376" s="19" t="str">
        <x:v>代表性</x:v>
      </x:c>
      <x:c r="F1376" s="19" t="str">
        <x:v>模块控制与校准</x:v>
      </x:c>
    </x:row>
    <x:row r="1377" ht="15" hidden="0" customHeight="1">
      <x:c r="A1377" s="19" t="str">
        <x:v>3200-OSFPXD-DR-RETIMED</x:v>
      </x:c>
      <x:c r="B1377" s="19" t="str">
        <x:v>C058</x:v>
      </x:c>
      <x:c r="C1377" s="19" t="n">
        <x:v>1</x:v>
      </x:c>
      <x:c r="D1377" s="19" t="str">
        <x:v>按实现</x:v>
      </x:c>
      <x:c r="E1377" s="19" t="str">
        <x:v>时钟架构</x:v>
      </x:c>
      <x:c r="F1377" s="19" t="str">
        <x:v>可由主机提供REFCLK或使用模块内时钟器件</x:v>
      </x:c>
    </x:row>
    <x:row r="1378" ht="15" hidden="0" customHeight="1">
      <x:c r="A1378" s="19" t="str">
        <x:v>3200-OSFPXD-DR-RETIMED</x:v>
      </x:c>
      <x:c r="B1378" s="19" t="str">
        <x:v>C059</x:v>
      </x:c>
      <x:c r="C1378" s="19" t="n">
        <x:v>1</x:v>
      </x:c>
      <x:c r="D1378" s="19" t="str">
        <x:v>必需/可集成</x:v>
      </x:c>
      <x:c r="E1378" s="19" t="str">
        <x:v>监控功能</x:v>
      </x:c>
      <x:c r="F1378" s="19" t="str">
        <x:v>CMIS/控制系统温度监测</x:v>
      </x:c>
    </x:row>
    <x:row r="1379" ht="15" hidden="0" customHeight="1">
      <x:c r="A1379" s="19" t="str">
        <x:v>3200-OSFPXD-DR-RETIMED</x:v>
      </x:c>
      <x:c r="B1379" s="19" t="str">
        <x:v>C060</x:v>
      </x:c>
      <x:c r="C1379" s="19" t="n">
        <x:v>1</x:v>
      </x:c>
      <x:c r="D1379" s="19" t="str">
        <x:v>必需</x:v>
      </x:c>
      <x:c r="E1379" s="19" t="str">
        <x:v>器件组</x:v>
      </x:c>
      <x:c r="F1379" s="19" t="str">
        <x:v>R/C/L数量不按lane数表示</x:v>
      </x:c>
    </x:row>
    <x:row r="1380" ht="15" hidden="0" customHeight="1">
      <x:c r="A1380" s="19" t="str">
        <x:v>3200-OSFPXD-DR-RETIMED</x:v>
      </x:c>
      <x:c r="B1380" s="19" t="str">
        <x:v>C062</x:v>
      </x:c>
      <x:c r="C1380" s="19" t="n">
        <x:v>1</x:v>
      </x:c>
      <x:c r="D1380" s="19" t="str">
        <x:v>按封装</x:v>
      </x:c>
      <x:c r="E1380" s="19" t="str">
        <x:v>互连工艺</x:v>
      </x:c>
      <x:c r="F1380" s="19" t="str">
        <x:v>flip-chip平台使用</x:v>
      </x:c>
    </x:row>
    <x:row r="1381" ht="15" hidden="0" customHeight="1">
      <x:c r="A1381" s="19" t="str">
        <x:v>3200-OSFPXD-DR-RETIMED</x:v>
      </x:c>
      <x:c r="B1381" s="19" t="str">
        <x:v>C063</x:v>
      </x:c>
      <x:c r="C1381" s="19" t="n">
        <x:v>1</x:v>
      </x:c>
      <x:c r="D1381" s="19" t="str">
        <x:v>按封装</x:v>
      </x:c>
      <x:c r="E1381" s="19" t="str">
        <x:v>互连工艺</x:v>
      </x:c>
      <x:c r="F1381" s="19" t="str">
        <x:v>wire/ribbon bond平台使用</x:v>
      </x:c>
    </x:row>
    <x:row r="1382" ht="15" hidden="0" customHeight="1">
      <x:c r="A1382" s="19" t="str">
        <x:v>3200-OSFPXD-DR-RETIMED</x:v>
      </x:c>
      <x:c r="B1382" s="19" t="str">
        <x:v>C011</x:v>
      </x:c>
      <x:c r="C1382" s="19" t="n">
        <x:v>1</x:v>
      </x:c>
      <x:c r="D1382" s="19" t="str">
        <x:v>必需</x:v>
      </x:c>
      <x:c r="E1382" s="19" t="str">
        <x:v>架构级</x:v>
      </x:c>
      <x:c r="F1382" s="19" t="str">
        <x:v>预计含DSP</x:v>
      </x:c>
    </x:row>
    <x:row r="1383" ht="15" hidden="0" customHeight="1">
      <x:c r="A1383" s="19" t="str">
        <x:v>3200-OSFPXD-DR-RETIMED</x:v>
      </x:c>
      <x:c r="B1383" s="19" t="str">
        <x:v>C014</x:v>
      </x:c>
      <x:c r="C1383" s="19" t="n">
        <x:v>1</x:v>
      </x:c>
      <x:c r="D1383" s="19" t="str">
        <x:v>必需</x:v>
      </x:c>
      <x:c r="E1383" s="19" t="str">
        <x:v>功能通道数</x:v>
      </x:c>
      <x:c r="F1383" s="19" t="str">
        <x:v>可能为阵列/多通道die，非精确封装颗数</x:v>
      </x:c>
    </x:row>
    <x:row r="1384" ht="15" hidden="0" customHeight="1">
      <x:c r="A1384" s="19" t="str">
        <x:v>3200-OSFPXD-DR-RETIMED</x:v>
      </x:c>
      <x:c r="B1384" s="19" t="str">
        <x:v>C015</x:v>
      </x:c>
      <x:c r="C1384" s="19" t="n">
        <x:v>1</x:v>
      </x:c>
      <x:c r="D1384" s="19" t="str">
        <x:v>必需</x:v>
      </x:c>
      <x:c r="E1384" s="19" t="str">
        <x:v>功能通道数</x:v>
      </x:c>
      <x:c r="F1384" s="19" t="str">
        <x:v>可能为阵列/多通道die，非精确封装颗数</x:v>
      </x:c>
    </x:row>
    <x:row r="1385" ht="15" hidden="0" customHeight="1">
      <x:c r="A1385" s="19" t="str">
        <x:v>3200-OSFPXD-DR-RETIMED</x:v>
      </x:c>
      <x:c r="B1385" s="19" t="str">
        <x:v>C031</x:v>
      </x:c>
      <x:c r="C1385" s="19" t="n">
        <x:v>1</x:v>
      </x:c>
      <x:c r="D1385" s="19" t="str">
        <x:v>按实现</x:v>
      </x:c>
      <x:c r="E1385" s="19" t="str">
        <x:v>代表性</x:v>
      </x:c>
      <x:c r="F1385" s="19" t="str">
        <x:v>待标准</x:v>
      </x:c>
    </x:row>
    <x:row r="1386" ht="15" hidden="0" customHeight="1">
      <x:c r="A1386" s="19"/>
      <x:c r="B1386" s="19"/>
      <x:c r="C1386" s="19"/>
      <x:c r="D1386" s="19"/>
      <x:c r="E1386" s="19"/>
      <x:c r="F1386" s="19"/>
    </x:row>
    <x:row r="1387" ht="15" hidden="0" customHeight="1">
      <x:c r="A1387" s="19"/>
      <x:c r="B1387" s="19"/>
      <x:c r="C1387" s="19"/>
      <x:c r="D1387" s="19"/>
      <x:c r="E1387" s="19"/>
      <x:c r="F1387" s="19"/>
    </x:row>
    <x:row r="1388" ht="15" hidden="0" customHeight="1">
      <x:c r="A1388" s="19"/>
      <x:c r="B1388" s="19"/>
      <x:c r="C1388" s="19"/>
      <x:c r="D1388" s="19"/>
      <x:c r="E1388" s="19"/>
      <x:c r="F1388" s="19"/>
    </x:row>
    <x:row r="1389" ht="15" hidden="0" customHeight="1">
      <x:c r="A1389" s="19" t="str">
        <x:v>3200-OSFPXD-DR-RETIMED</x:v>
      </x:c>
      <x:c r="B1389" s="19" t="str">
        <x:v>C037</x:v>
      </x:c>
      <x:c r="C1389" s="19" t="n">
        <x:v>1</x:v>
      </x:c>
      <x:c r="D1389" s="19" t="str">
        <x:v>按实现</x:v>
      </x:c>
      <x:c r="E1389" s="19" t="str">
        <x:v>光通道</x:v>
      </x:c>
      <x:c r="F1389" s="19" t="str">
        <x:v>自由空间/阵列耦合时使用</x:v>
      </x:c>
    </x:row>
    <x:row r="1390" ht="15" hidden="0" customHeight="1">
      <x:c r="A1390" s="19" t="str">
        <x:v>3200-OSFPXD-DR-RETIMED</x:v>
      </x:c>
      <x:c r="B1390" s="19" t="str">
        <x:v>C038</x:v>
      </x:c>
      <x:c r="C1390" s="19" t="n">
        <x:v>1</x:v>
      </x:c>
      <x:c r="D1390" s="19" t="str">
        <x:v>按实现</x:v>
      </x:c>
      <x:c r="E1390" s="19" t="str">
        <x:v>光通道</x:v>
      </x:c>
      <x:c r="F1390" s="19" t="str">
        <x:v>FAU可能按阵列封装，不等于单根数量</x:v>
      </x:c>
    </x:row>
    <x:row r="1391" ht="15" hidden="0" customHeight="1">
      <x:c r="A1391" s="19" t="str">
        <x:v>3200-OSFPXD-DR-RETIMED</x:v>
      </x:c>
      <x:c r="B1391" s="19" t="str">
        <x:v>C053</x:v>
      </x:c>
      <x:c r="C1391" s="19" t="n">
        <x:v>1</x:v>
      </x:c>
      <x:c r="D1391" s="19" t="str">
        <x:v>必需</x:v>
      </x:c>
      <x:c r="E1391" s="19" t="str">
        <x:v>热管理</x:v>
      </x:c>
      <x:c r="F1391" s="19" t="str">
        <x:v>TIM</x:v>
      </x:c>
    </x:row>
    <x:row r="1392" ht="15" hidden="0" customHeight="1">
      <x:c r="A1392" s="19" t="str">
        <x:v>3200-OSFPXD-DR-RETIMED</x:v>
      </x:c>
      <x:c r="B1392" s="19" t="str">
        <x:v>C054</x:v>
      </x:c>
      <x:c r="C1392" s="19" t="n">
        <x:v>1</x:v>
      </x:c>
      <x:c r="D1392" s="19" t="str">
        <x:v>按实现</x:v>
      </x:c>
      <x:c r="E1392" s="19" t="str">
        <x:v>封装</x:v>
      </x:c>
      <x:c r="F1392" s="19" t="str">
        <x:v>光学胶/底填</x:v>
      </x:c>
    </x:row>
    <x:row r="1393" ht="15" hidden="0" customHeight="1">
      <x:c r="A1393" s="19" t="str">
        <x:v>3200-OSFPXD-FR-RETIMED</x:v>
      </x:c>
      <x:c r="B1393" s="19" t="str">
        <x:v>C001</x:v>
      </x:c>
      <x:c r="C1393" s="19" t="n">
        <x:v>1</x:v>
      </x:c>
      <x:c r="D1393" s="19" t="str">
        <x:v>必需</x:v>
      </x:c>
      <x:c r="E1393" s="19" t="str">
        <x:v>形态级</x:v>
      </x:c>
      <x:c r="F1393" s="19" t="str">
        <x:v>OSFP-XD</x:v>
      </x:c>
    </x:row>
    <x:row r="1394" ht="15" hidden="0" customHeight="1">
      <x:c r="A1394" s="19" t="str">
        <x:v>3200-OSFPXD-FR-RETIMED</x:v>
      </x:c>
      <x:c r="B1394" s="19" t="str">
        <x:v>C002</x:v>
      </x:c>
      <x:c r="C1394" s="19" t="n">
        <x:v>1</x:v>
      </x:c>
      <x:c r="D1394" s="19" t="str">
        <x:v>必需</x:v>
      </x:c>
      <x:c r="E1394" s="19" t="str">
        <x:v>形态级</x:v>
      </x:c>
      <x:c r="F1394" s="19" t="str">
        <x:v>散热能力需按功耗校核</x:v>
      </x:c>
    </x:row>
    <x:row r="1395" ht="15" hidden="0" customHeight="1">
      <x:c r="A1395" s="19" t="str">
        <x:v>3200-OSFPXD-FR-RETIMED</x:v>
      </x:c>
      <x:c r="B1395" s="19" t="str">
        <x:v>C003</x:v>
      </x:c>
      <x:c r="C1395" s="19" t="n">
        <x:v>1</x:v>
      </x:c>
      <x:c r="D1395" s="19" t="str">
        <x:v>必需</x:v>
      </x:c>
      <x:c r="E1395" s="19" t="str">
        <x:v>形态级</x:v>
      </x:c>
      <x:c r="F1395" s="19" t="str">
        <x:v>CPO无传统前面板模块拉环</x:v>
      </x:c>
    </x:row>
    <x:row r="1396" ht="15" hidden="0" customHeight="1">
      <x:c r="A1396" s="19" t="str">
        <x:v>3200-OSFPXD-FR-RETIMED</x:v>
      </x:c>
      <x:c r="B1396" s="19" t="str">
        <x:v>C004</x:v>
      </x:c>
      <x:c r="C1396" s="19" t="n">
        <x:v>1</x:v>
      </x:c>
      <x:c r="D1396" s="19" t="str">
        <x:v>必需</x:v>
      </x:c>
      <x:c r="E1396" s="19" t="str">
        <x:v>代表性</x:v>
      </x:c>
      <x:c r="F1396" s="19" t="str">
        <x:v>EMI屏蔽结构依外壳设计</x:v>
      </x:c>
    </x:row>
    <x:row r="1397" ht="15" hidden="0" customHeight="1">
      <x:c r="A1397" s="19" t="str">
        <x:v>3200-OSFPXD-FR-RETIMED</x:v>
      </x:c>
      <x:c r="B1397" s="19" t="str">
        <x:v>C005</x:v>
      </x:c>
      <x:c r="C1397" s="19" t="n">
        <x:v>1</x:v>
      </x:c>
      <x:c r="D1397" s="19" t="str">
        <x:v>必需</x:v>
      </x:c>
      <x:c r="E1397" s="19" t="str">
        <x:v>代表性</x:v>
      </x:c>
      <x:c r="F1397" s="19" t="str">
        <x:v>CPO可采用封装基板+系统PCB</x:v>
      </x:c>
    </x:row>
    <x:row r="1398" ht="15" hidden="0" customHeight="1">
      <x:c r="A1398" s="19" t="str">
        <x:v>3200-OSFPXD-FR-RETIMED</x:v>
      </x:c>
      <x:c r="B1398" s="19" t="str">
        <x:v>C056</x:v>
      </x:c>
      <x:c r="C1398" s="19" t="n">
        <x:v>1</x:v>
      </x:c>
      <x:c r="D1398" s="19" t="str">
        <x:v>必需</x:v>
      </x:c>
      <x:c r="E1398" s="19" t="str">
        <x:v>形态级</x:v>
      </x:c>
      <x:c r="F1398" s="19" t="str">
        <x:v>可插拔模块主机侧金手指/电连接器</x:v>
      </x:c>
    </x:row>
    <x:row r="1399" ht="15" hidden="0" customHeight="1">
      <x:c r="A1399" s="19" t="str">
        <x:v>3200-OSFPXD-FR-RETIMED</x:v>
      </x:c>
      <x:c r="B1399" s="19" t="str">
        <x:v>C057</x:v>
      </x:c>
      <x:c r="C1399" s="19" t="n">
        <x:v>1</x:v>
      </x:c>
      <x:c r="D1399" s="19" t="str">
        <x:v>系统配套</x:v>
      </x:c>
      <x:c r="E1399" s="19" t="str">
        <x:v>系统级</x:v>
      </x:c>
      <x:c r="F1399" s="19" t="str">
        <x:v>cage不属于模块内采购BOM</x:v>
      </x:c>
    </x:row>
    <x:row r="1400" ht="15" hidden="0" customHeight="1">
      <x:c r="A1400" s="19" t="str">
        <x:v>3200-OSFPXD-FR-RETIMED</x:v>
      </x:c>
      <x:c r="B1400" s="19" t="str">
        <x:v>C007</x:v>
      </x:c>
      <x:c r="C1400" s="19" t="n">
        <x:v>1</x:v>
      </x:c>
      <x:c r="D1400" s="19" t="str">
        <x:v>必需</x:v>
      </x:c>
      <x:c r="E1400" s="19" t="str">
        <x:v>代表性</x:v>
      </x:c>
      <x:c r="F1400" s="19" t="str">
        <x:v>光引擎承载基板/Interposer</x:v>
      </x:c>
    </x:row>
    <x:row r="1401" ht="15" hidden="0" customHeight="1">
      <x:c r="A1401" s="19" t="str">
        <x:v>3200-OSFPXD-FR-RETIMED</x:v>
      </x:c>
      <x:c r="B1401" s="19" t="str">
        <x:v>C008</x:v>
      </x:c>
      <x:c r="C1401" s="19" t="n">
        <x:v>1</x:v>
      </x:c>
      <x:c r="D1401" s="19" t="str">
        <x:v>必需</x:v>
      </x:c>
      <x:c r="E1401" s="19" t="str">
        <x:v>代表性</x:v>
      </x:c>
      <x:c r="F1401" s="19" t="str">
        <x:v>数量按功耗域，不等于精确颗数</x:v>
      </x:c>
    </x:row>
    <x:row r="1402" ht="15" hidden="0" customHeight="1">
      <x:c r="A1402" s="19" t="str">
        <x:v>3200-OSFPXD-FR-RETIMED</x:v>
      </x:c>
      <x:c r="B1402" s="19" t="str">
        <x:v>C009</x:v>
      </x:c>
      <x:c r="C1402" s="19" t="n">
        <x:v>1</x:v>
      </x:c>
      <x:c r="D1402" s="19" t="str">
        <x:v>必需</x:v>
      </x:c>
      <x:c r="E1402" s="19" t="str">
        <x:v>管理接口</x:v>
      </x:c>
      <x:c r="F1402" s="19" t="str">
        <x:v>可插拔模块使用CMIS管理</x:v>
      </x:c>
    </x:row>
    <x:row r="1403" ht="15" hidden="0" customHeight="1">
      <x:c r="A1403" s="19" t="str">
        <x:v>3200-OSFPXD-FR-RETIMED</x:v>
      </x:c>
      <x:c r="B1403" s="19" t="str">
        <x:v>C010</x:v>
      </x:c>
      <x:c r="C1403" s="19" t="n">
        <x:v>1</x:v>
      </x:c>
      <x:c r="D1403" s="19" t="str">
        <x:v>按实现</x:v>
      </x:c>
      <x:c r="E1403" s="19" t="str">
        <x:v>代表性</x:v>
      </x:c>
      <x:c r="F1403" s="19" t="str">
        <x:v>模块控制与校准</x:v>
      </x:c>
    </x:row>
    <x:row r="1404" ht="15" hidden="0" customHeight="1">
      <x:c r="A1404" s="19" t="str">
        <x:v>3200-OSFPXD-FR-RETIMED</x:v>
      </x:c>
      <x:c r="B1404" s="19" t="str">
        <x:v>C058</x:v>
      </x:c>
      <x:c r="C1404" s="19" t="n">
        <x:v>1</x:v>
      </x:c>
      <x:c r="D1404" s="19" t="str">
        <x:v>按实现</x:v>
      </x:c>
      <x:c r="E1404" s="19" t="str">
        <x:v>时钟架构</x:v>
      </x:c>
      <x:c r="F1404" s="19" t="str">
        <x:v>可由主机提供REFCLK或使用模块内时钟器件</x:v>
      </x:c>
    </x:row>
    <x:row r="1405" ht="15" hidden="0" customHeight="1">
      <x:c r="A1405" s="19" t="str">
        <x:v>3200-OSFPXD-FR-RETIMED</x:v>
      </x:c>
      <x:c r="B1405" s="19" t="str">
        <x:v>C059</x:v>
      </x:c>
      <x:c r="C1405" s="19" t="n">
        <x:v>1</x:v>
      </x:c>
      <x:c r="D1405" s="19" t="str">
        <x:v>必需/可集成</x:v>
      </x:c>
      <x:c r="E1405" s="19" t="str">
        <x:v>监控功能</x:v>
      </x:c>
      <x:c r="F1405" s="19" t="str">
        <x:v>CMIS/控制系统温度监测</x:v>
      </x:c>
    </x:row>
    <x:row r="1406" ht="15" hidden="0" customHeight="1">
      <x:c r="A1406" s="19" t="str">
        <x:v>3200-OSFPXD-FR-RETIMED</x:v>
      </x:c>
      <x:c r="B1406" s="19" t="str">
        <x:v>C060</x:v>
      </x:c>
      <x:c r="C1406" s="19" t="n">
        <x:v>1</x:v>
      </x:c>
      <x:c r="D1406" s="19" t="str">
        <x:v>必需</x:v>
      </x:c>
      <x:c r="E1406" s="19" t="str">
        <x:v>器件组</x:v>
      </x:c>
      <x:c r="F1406" s="19" t="str">
        <x:v>R/C/L数量不按lane数表示</x:v>
      </x:c>
    </x:row>
    <x:row r="1407" ht="15" hidden="0" customHeight="1">
      <x:c r="A1407" s="19" t="str">
        <x:v>3200-OSFPXD-FR-RETIMED</x:v>
      </x:c>
      <x:c r="B1407" s="19" t="str">
        <x:v>C062</x:v>
      </x:c>
      <x:c r="C1407" s="19" t="n">
        <x:v>1</x:v>
      </x:c>
      <x:c r="D1407" s="19" t="str">
        <x:v>按封装</x:v>
      </x:c>
      <x:c r="E1407" s="19" t="str">
        <x:v>互连工艺</x:v>
      </x:c>
      <x:c r="F1407" s="19" t="str">
        <x:v>flip-chip平台使用</x:v>
      </x:c>
    </x:row>
    <x:row r="1408" ht="15" hidden="0" customHeight="1">
      <x:c r="A1408" s="19" t="str">
        <x:v>3200-OSFPXD-FR-RETIMED</x:v>
      </x:c>
      <x:c r="B1408" s="19" t="str">
        <x:v>C063</x:v>
      </x:c>
      <x:c r="C1408" s="19" t="n">
        <x:v>1</x:v>
      </x:c>
      <x:c r="D1408" s="19" t="str">
        <x:v>按封装</x:v>
      </x:c>
      <x:c r="E1408" s="19" t="str">
        <x:v>互连工艺</x:v>
      </x:c>
      <x:c r="F1408" s="19" t="str">
        <x:v>wire/ribbon bond平台使用</x:v>
      </x:c>
    </x:row>
    <x:row r="1409" ht="15" hidden="0" customHeight="1">
      <x:c r="A1409" s="19" t="str">
        <x:v>3200-OSFPXD-FR-RETIMED</x:v>
      </x:c>
      <x:c r="B1409" s="19" t="str">
        <x:v>C011</x:v>
      </x:c>
      <x:c r="C1409" s="19" t="n">
        <x:v>1</x:v>
      </x:c>
      <x:c r="D1409" s="19" t="str">
        <x:v>必需</x:v>
      </x:c>
      <x:c r="E1409" s="19" t="str">
        <x:v>架构级</x:v>
      </x:c>
      <x:c r="F1409" s="19" t="str">
        <x:v>预计含DSP</x:v>
      </x:c>
    </x:row>
    <x:row r="1410" ht="15" hidden="0" customHeight="1">
      <x:c r="A1410" s="19" t="str">
        <x:v>3200-OSFPXD-FR-RETIMED</x:v>
      </x:c>
      <x:c r="B1410" s="19" t="str">
        <x:v>C014</x:v>
      </x:c>
      <x:c r="C1410" s="19" t="n">
        <x:v>1</x:v>
      </x:c>
      <x:c r="D1410" s="19" t="str">
        <x:v>必需</x:v>
      </x:c>
      <x:c r="E1410" s="19" t="str">
        <x:v>功能通道数</x:v>
      </x:c>
      <x:c r="F1410" s="19" t="str">
        <x:v>可能为阵列/多通道die，非精确封装颗数</x:v>
      </x:c>
    </x:row>
    <x:row r="1411" ht="15" hidden="0" customHeight="1">
      <x:c r="A1411" s="19" t="str">
        <x:v>3200-OSFPXD-FR-RETIMED</x:v>
      </x:c>
      <x:c r="B1411" s="19" t="str">
        <x:v>C015</x:v>
      </x:c>
      <x:c r="C1411" s="19" t="n">
        <x:v>1</x:v>
      </x:c>
      <x:c r="D1411" s="19" t="str">
        <x:v>必需</x:v>
      </x:c>
      <x:c r="E1411" s="19" t="str">
        <x:v>功能通道数</x:v>
      </x:c>
      <x:c r="F1411" s="19" t="str">
        <x:v>可能为阵列/多通道die，非精确封装颗数</x:v>
      </x:c>
    </x:row>
    <x:row r="1412" ht="15" hidden="0" customHeight="1">
      <x:c r="A1412" s="19" t="str">
        <x:v>3200-OSFPXD-FR-RETIMED</x:v>
      </x:c>
      <x:c r="B1412" s="19" t="str">
        <x:v>C031</x:v>
      </x:c>
      <x:c r="C1412" s="19" t="n">
        <x:v>1</x:v>
      </x:c>
      <x:c r="D1412" s="19" t="str">
        <x:v>按实现</x:v>
      </x:c>
      <x:c r="E1412" s="19" t="str">
        <x:v>代表性</x:v>
      </x:c>
      <x:c r="F1412" s="19" t="str">
        <x:v>待标准</x:v>
      </x:c>
    </x:row>
    <x:row r="1413" ht="15" hidden="0" customHeight="1">
      <x:c r="A1413" s="19" t="str">
        <x:v>3200-OSFPXD-FR-RETIMED</x:v>
      </x:c>
      <x:c r="B1413" s="19" t="str">
        <x:v>C034</x:v>
      </x:c>
      <x:c r="C1413" s="19" t="n">
        <x:v>1</x:v>
      </x:c>
      <x:c r="D1413" s="19" t="str">
        <x:v>必需</x:v>
      </x:c>
      <x:c r="E1413" s="19" t="str">
        <x:v>端口/波分组</x:v>
      </x:c>
      <x:c r="F1413" s="19" t="str">
        <x:v>待标准</x:v>
      </x:c>
    </x:row>
    <x:row r="1414" ht="15" hidden="0" customHeight="1">
      <x:c r="A1414" s="19" t="str">
        <x:v>3200-OSFPXD-FR-RETIMED</x:v>
      </x:c>
      <x:c r="B1414" s="19" t="str">
        <x:v>C035</x:v>
      </x:c>
      <x:c r="C1414" s="19" t="n">
        <x:v>1</x:v>
      </x:c>
      <x:c r="D1414" s="19" t="str">
        <x:v>实现选项</x:v>
      </x:c>
      <x:c r="E1414" s="19" t="str">
        <x:v>微结构</x:v>
      </x:c>
      <x:c r="F1414" s="19" t="str">
        <x:v>AWG为MUX/DEMUX的一种实现</x:v>
      </x:c>
    </x:row>
    <x:row r="1415" ht="15" hidden="0" customHeight="1">
      <x:c r="A1415" s="19" t="str">
        <x:v>3200-OSFPXD-FR-RETIMED</x:v>
      </x:c>
      <x:c r="B1415" s="19" t="str">
        <x:v>C036</x:v>
      </x:c>
      <x:c r="C1415" s="19" t="n">
        <x:v>1</x:v>
      </x:c>
      <x:c r="D1415" s="19" t="str">
        <x:v>实现选项</x:v>
      </x:c>
      <x:c r="E1415" s="19" t="str">
        <x:v>微结构</x:v>
      </x:c>
      <x:c r="F1415" s="19" t="str">
        <x:v>TFF为MUX/DEMUX的另一种实现</x:v>
      </x:c>
    </x:row>
    <x:row r="1416" ht="15" hidden="0" customHeight="1">
      <x:c r="A1416" s="19" t="str">
        <x:v>3200-OSFPXD-FR-RETIMED</x:v>
      </x:c>
      <x:c r="B1416" s="19" t="str">
        <x:v>C037</x:v>
      </x:c>
      <x:c r="C1416" s="19" t="n">
        <x:v>1</x:v>
      </x:c>
      <x:c r="D1416" s="19" t="str">
        <x:v>按实现</x:v>
      </x:c>
      <x:c r="E1416" s="19" t="str">
        <x:v>光通道</x:v>
      </x:c>
      <x:c r="F1416" s="19" t="str">
        <x:v>自由空间/阵列耦合时使用</x:v>
      </x:c>
    </x:row>
    <x:row r="1417" ht="15" hidden="0" customHeight="1">
      <x:c r="A1417" s="19" t="str">
        <x:v>3200-OSFPXD-FR-RETIMED</x:v>
      </x:c>
      <x:c r="B1417" s="19" t="str">
        <x:v>C038</x:v>
      </x:c>
      <x:c r="C1417" s="19" t="n">
        <x:v>1</x:v>
      </x:c>
      <x:c r="D1417" s="19" t="str">
        <x:v>按实现</x:v>
      </x:c>
      <x:c r="E1417" s="19" t="str">
        <x:v>光通道</x:v>
      </x:c>
      <x:c r="F1417" s="19" t="str">
        <x:v>FAU可能按阵列封装，不等于单根数量</x:v>
      </x:c>
    </x:row>
    <x:row r="1418" ht="15" hidden="0" customHeight="1">
      <x:c r="A1418" s="19" t="str">
        <x:v>3200-OSFPXD-FR-RETIMED</x:v>
      </x:c>
      <x:c r="B1418" s="19" t="str">
        <x:v>C053</x:v>
      </x:c>
      <x:c r="C1418" s="19" t="n">
        <x:v>1</x:v>
      </x:c>
      <x:c r="D1418" s="19" t="str">
        <x:v>必需</x:v>
      </x:c>
      <x:c r="E1418" s="19" t="str">
        <x:v>热管理</x:v>
      </x:c>
      <x:c r="F1418" s="19" t="str">
        <x:v>TIM</x:v>
      </x:c>
    </x:row>
    <x:row r="1419" ht="15" hidden="0" customHeight="1">
      <x:c r="A1419" s="19" t="str">
        <x:v>3200-OSFPXD-FR-RETIMED</x:v>
      </x:c>
      <x:c r="B1419" s="19" t="str">
        <x:v>C054</x:v>
      </x:c>
      <x:c r="C1419" s="19" t="n">
        <x:v>1</x:v>
      </x:c>
      <x:c r="D1419" s="19" t="str">
        <x:v>按实现</x:v>
      </x:c>
      <x:c r="E1419" s="19" t="str">
        <x:v>封装</x:v>
      </x:c>
      <x:c r="F1419" s="19" t="str">
        <x:v>光学胶/底填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93f1b659d2a4c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109999656677246" hidden="0" customWidth="1"/>
    <x:col min="2" max="2" width="5" hidden="0" customWidth="1"/>
    <x:col min="3" max="3" width="7.889999866485596" hidden="0" customWidth="1"/>
    <x:col min="4" max="4" width="10.890000343322754" hidden="0" customWidth="1"/>
    <x:col min="5" max="5" width="24" hidden="0" customWidth="1"/>
    <x:col min="6" max="6" width="24" hidden="0" customWidth="1"/>
    <x:col min="7" max="7" width="16.110000610351562" hidden="0" customWidth="1"/>
    <x:col min="8" max="8" width="24" hidden="0" customWidth="1"/>
    <x:col min="9" max="9" width="24" hidden="0" customWidth="1"/>
    <x:col min="10" max="10" width="34" hidden="0" customWidth="1"/>
    <x:col min="11" max="11" width="9.5600004196167" hidden="0" customWidth="1"/>
    <x:col min="12" max="12" width="9.5600004196167" hidden="0" customWidth="1"/>
    <x:col min="13" max="13" width="6.889999866485596" hidden="0" customWidth="1"/>
    <x:col min="14" max="14" width="11.4399995803833" hidden="0" customWidth="1"/>
    <x:col min="15" max="15" width="24" hidden="0" customWidth="1"/>
    <x:col min="16" max="16" width="9.109999656677246" hidden="0" customWidth="1"/>
    <x:col min="17" max="17" width="5" hidden="0" customWidth="1"/>
    <x:col min="18" max="18" width="34" hidden="0" customWidth="1"/>
  </x:cols>
  <x:sheetData>
    <x:row r="1" ht="21.600000381469727" hidden="0" customHeight="1">
      <x:c r="A1" s="4" t="str">
        <x:v>器件库：从模块到谐振腔、光栅与耦合微结构</x:v>
      </x:c>
      <x:c r="B1" s="4" t="str">
        <x:v>器件库：从模块到谐振腔、光栅与耦合微结构</x:v>
      </x:c>
      <x:c r="C1" s="4" t="str">
        <x:v>器件库：从模块到谐振腔、光栅与耦合微结构</x:v>
      </x:c>
      <x:c r="D1" s="4" t="str">
        <x:v>器件库：从模块到谐振腔、光栅与耦合微结构</x:v>
      </x:c>
      <x:c r="E1" s="4" t="str">
        <x:v>器件库：从模块到谐振腔、光栅与耦合微结构</x:v>
      </x:c>
      <x:c r="F1" s="4" t="str">
        <x:v>器件库：从模块到谐振腔、光栅与耦合微结构</x:v>
      </x:c>
      <x:c r="G1" s="4" t="str">
        <x:v>器件库：从模块到谐振腔、光栅与耦合微结构</x:v>
      </x:c>
      <x:c r="H1" s="4" t="str">
        <x:v>器件库：从模块到谐振腔、光栅与耦合微结构</x:v>
      </x:c>
      <x:c r="I1" s="4" t="str">
        <x:v>器件库：从模块到谐振腔、光栅与耦合微结构</x:v>
      </x:c>
      <x:c r="J1" s="4" t="str">
        <x:v>器件库：从模块到谐振腔、光栅与耦合微结构</x:v>
      </x:c>
      <x:c r="K1" s="4" t="str">
        <x:v>器件库：从模块到谐振腔、光栅与耦合微结构</x:v>
      </x:c>
      <x:c r="L1" s="4" t="str">
        <x:v>器件库：从模块到谐振腔、光栅与耦合微结构</x:v>
      </x:c>
      <x:c r="M1" s="4" t="str">
        <x:v>器件库：从模块到谐振腔、光栅与耦合微结构</x:v>
      </x:c>
      <x:c r="N1" s="4" t="str">
        <x:v>器件库：从模块到谐振腔、光栅与耦合微结构</x:v>
      </x:c>
      <x:c r="O1" s="4" t="str">
        <x:v>器件库：从模块到谐振腔、光栅与耦合微结构</x:v>
      </x:c>
      <x:c r="P1" s="4" t="str">
        <x:v>器件库：从模块到谐振腔、光栅与耦合微结构</x:v>
      </x:c>
      <x:c r="Q1" s="4" t="str">
        <x:v>器件库：从模块到谐振腔、光栅与耦合微结构</x:v>
      </x:c>
      <x:c r="R1" s="4" t="str">
        <x:v>器件库：从模块到谐振腔、光栅与耦合微结构</x:v>
      </x:c>
    </x:row>
    <x:row r="2" ht="15" hidden="0" customHeight="1">
      <x:c r="A2" s="7" t="str">
        <x:v>价格留空不代表零成本；RFQ、集成于die/PIC、不可单独采购三种状态需区别理解</x:v>
      </x:c>
      <x:c r="B2" s="7" t="str">
        <x:v>价格留空不代表零成本；RFQ、集成于die/PIC、不可单独采购三种状态需区别理解</x:v>
      </x:c>
      <x:c r="C2" s="7" t="str">
        <x:v>价格留空不代表零成本；RFQ、集成于die/PIC、不可单独采购三种状态需区别理解</x:v>
      </x:c>
      <x:c r="D2" s="7" t="str">
        <x:v>价格留空不代表零成本；RFQ、集成于die/PIC、不可单独采购三种状态需区别理解</x:v>
      </x:c>
      <x:c r="E2" s="7" t="str">
        <x:v>价格留空不代表零成本；RFQ、集成于die/PIC、不可单独采购三种状态需区别理解</x:v>
      </x:c>
      <x:c r="F2" s="7" t="str">
        <x:v>价格留空不代表零成本；RFQ、集成于die/PIC、不可单独采购三种状态需区别理解</x:v>
      </x:c>
      <x:c r="G2" s="7" t="str">
        <x:v>价格留空不代表零成本；RFQ、集成于die/PIC、不可单独采购三种状态需区别理解</x:v>
      </x:c>
      <x:c r="H2" s="7" t="str">
        <x:v>价格留空不代表零成本；RFQ、集成于die/PIC、不可单独采购三种状态需区别理解</x:v>
      </x:c>
      <x:c r="I2" s="7" t="str">
        <x:v>价格留空不代表零成本；RFQ、集成于die/PIC、不可单独采购三种状态需区别理解</x:v>
      </x:c>
      <x:c r="J2" s="7" t="str">
        <x:v>价格留空不代表零成本；RFQ、集成于die/PIC、不可单独采购三种状态需区别理解</x:v>
      </x:c>
      <x:c r="K2" s="7" t="str">
        <x:v>价格留空不代表零成本；RFQ、集成于die/PIC、不可单独采购三种状态需区别理解</x:v>
      </x:c>
      <x:c r="L2" s="7" t="str">
        <x:v>价格留空不代表零成本；RFQ、集成于die/PIC、不可单独采购三种状态需区别理解</x:v>
      </x:c>
      <x:c r="M2" s="7" t="str">
        <x:v>价格留空不代表零成本；RFQ、集成于die/PIC、不可单独采购三种状态需区别理解</x:v>
      </x:c>
      <x:c r="N2" s="7" t="str">
        <x:v>价格留空不代表零成本；RFQ、集成于die/PIC、不可单独采购三种状态需区别理解</x:v>
      </x:c>
      <x:c r="O2" s="7" t="str">
        <x:v>价格留空不代表零成本；RFQ、集成于die/PIC、不可单独采购三种状态需区别理解</x:v>
      </x:c>
      <x:c r="P2" s="7" t="str">
        <x:v>价格留空不代表零成本；RFQ、集成于die/PIC、不可单独采购三种状态需区别理解</x:v>
      </x:c>
      <x:c r="Q2" s="7" t="str">
        <x:v>价格留空不代表零成本；RFQ、集成于die/PIC、不可单独采购三种状态需区别理解</x:v>
      </x:c>
      <x:c r="R2" s="7" t="str">
        <x:v>价格留空不代表零成本；RFQ、集成于die/PIC、不可单独采购三种状态需区别理解</x:v>
      </x:c>
    </x:row>
    <x:row r="3" ht="15" hidden="0" customHeight="1">
      <x:c r="A3" s="21" t="str">
        <x:v>← 返回‘00_型号选择器’工作表</x:v>
      </x:c>
    </x:row>
    <x:row r="4" ht="15" hidden="0" customHeight="1">
      <x:c r="A4" s="13" t="str">
        <x:v>Component_ID</x:v>
      </x:c>
      <x:c r="B4" s="13" t="str">
        <x:v>层级</x:v>
      </x:c>
      <x:c r="C4" s="13" t="str">
        <x:v>类别</x:v>
      </x:c>
      <x:c r="D4" s="13" t="str">
        <x:v>有源/无源/混合</x:v>
      </x:c>
      <x:c r="E4" s="13" t="str">
        <x:v>器件中文</x:v>
      </x:c>
      <x:c r="F4" s="13" t="str">
        <x:v>English</x:v>
      </x:c>
      <x:c r="G4" s="13" t="str">
        <x:v>上级器件</x:v>
      </x:c>
      <x:c r="H4" s="13" t="str">
        <x:v>外观/结构</x:v>
      </x:c>
      <x:c r="I4" s="13" t="str">
        <x:v>核心功能</x:v>
      </x:c>
      <x:c r="J4" s="13" t="str">
        <x:v>重要指标</x:v>
      </x:c>
      <x:c r="K4" s="13" t="str">
        <x:v>典型单价低($)</x:v>
      </x:c>
      <x:c r="L4" s="13" t="str">
        <x:v>典型单价高($)</x:v>
      </x:c>
      <x:c r="M4" s="13" t="str">
        <x:v>价格单位</x:v>
      </x:c>
      <x:c r="N4" s="13" t="str">
        <x:v>价格状态</x:v>
      </x:c>
      <x:c r="O4" s="13" t="str">
        <x:v>主要厂商/生态</x:v>
      </x:c>
      <x:c r="P4" s="13" t="str">
        <x:v>Source_ID</x:v>
      </x:c>
      <x:c r="Q4" s="13" t="str">
        <x:v>置信度</x:v>
      </x:c>
      <x:c r="R4" s="13" t="str">
        <x:v>说明</x:v>
      </x:c>
    </x:row>
    <x:row r="5" ht="24" hidden="0" customHeight="1">
      <x:c r="A5" s="19" t="str">
        <x:v>C001</x:v>
      </x:c>
      <x:c r="B5" s="19" t="str">
        <x:v>模块</x:v>
      </x:c>
      <x:c r="C5" s="19" t="str">
        <x:v>机械</x:v>
      </x:c>
      <x:c r="D5" s="19" t="str">
        <x:v>无源</x:v>
      </x:c>
      <x:c r="E5" s="19" t="str">
        <x:v>金属外壳</x:v>
      </x:c>
      <x:c r="F5" s="19" t="str">
        <x:v>Housing</x:v>
      </x:c>
      <x:c r="G5" s="19" t="str"/>
      <x:c r="H5" s="19" t="str">
        <x:v>压铸/机加工金属壳体</x:v>
      </x:c>
      <x:c r="I5" s="19" t="str">
        <x:v>保护器件、屏蔽EMI、导热</x:v>
      </x:c>
      <x:c r="J5" s="19" t="str">
        <x:v>尺寸公差、表面粗糙度、EMI、热阻</x:v>
      </x:c>
      <x:c r="K5" s="23" t="n">
        <x:v>8</x:v>
      </x:c>
      <x:c r="L5" s="23" t="n">
        <x:v>20</x:v>
      </x:c>
      <x:c r="M5" s="19" t="str">
        <x:v>件</x:v>
      </x:c>
      <x:c r="N5" s="19" t="str">
        <x:v>800G行业建模区间；具体速率见10_价格区间</x:v>
      </x:c>
      <x:c r="O5" s="19" t="str">
        <x:v>Amphenol、Foxconn、Lumentum生态</x:v>
      </x:c>
      <x:c r="P5" s="19" t="str">
        <x:v>S08;S15</x:v>
      </x:c>
      <x:c r="Q5" s="19" t="str">
        <x:v>低</x:v>
      </x:c>
      <x:c r="R5" s="19" t="str">
        <x:v>外观随QSFP-DD、OSFP、OSFP-XD变化；价格用于结构学习和BOM情景，不代表特定客户成交价</x:v>
      </x:c>
    </x:row>
    <x:row r="6" ht="15" hidden="0" customHeight="1">
      <x:c r="A6" s="19" t="str">
        <x:v>C002</x:v>
      </x:c>
      <x:c r="B6" s="19" t="str">
        <x:v>模块</x:v>
      </x:c>
      <x:c r="C6" s="19" t="str">
        <x:v>热管理</x:v>
      </x:c>
      <x:c r="D6" s="19" t="str">
        <x:v>无源</x:v>
      </x:c>
      <x:c r="E6" s="19" t="str">
        <x:v>散热器</x:v>
      </x:c>
      <x:c r="F6" s="19" t="str">
        <x:v>Heatsink</x:v>
      </x:c>
      <x:c r="G6" s="19" t="str">
        <x:v>C001</x:v>
      </x:c>
      <x:c r="H6" s="19" t="str">
        <x:v>翅片或RHS/IHS结构</x:v>
      </x:c>
      <x:c r="I6" s="19" t="str">
        <x:v>将DSP和光引擎热量导向风道</x:v>
      </x:c>
      <x:c r="J6" s="19" t="str">
        <x:v>热阻、压降、接触压力</x:v>
      </x:c>
      <x:c r="K6" s="23" t="n">
        <x:v>5</x:v>
      </x:c>
      <x:c r="L6" s="23" t="n">
        <x:v>15</x:v>
      </x:c>
      <x:c r="M6" s="19" t="str">
        <x:v>件</x:v>
      </x:c>
      <x:c r="N6" s="19" t="str">
        <x:v>800G行业建模区间；具体速率见10_价格区间</x:v>
      </x:c>
      <x:c r="O6" s="19" t="str">
        <x:v>模块厂、散热件厂商</x:v>
      </x:c>
      <x:c r="P6" s="19" t="str">
        <x:v>S05;S08</x:v>
      </x:c>
      <x:c r="Q6" s="19" t="str">
        <x:v>低</x:v>
      </x:c>
      <x:c r="R6" s="19" t="str">
        <x:v>OSFP常见顶部散热结构；价格用于结构学习和BOM情景，不代表特定客户成交价</x:v>
      </x:c>
    </x:row>
    <x:row r="7" ht="15" hidden="0" customHeight="1">
      <x:c r="A7" s="19" t="str">
        <x:v>C003</x:v>
      </x:c>
      <x:c r="B7" s="19" t="str">
        <x:v>模块</x:v>
      </x:c>
      <x:c r="C7" s="19" t="str">
        <x:v>机械</x:v>
      </x:c>
      <x:c r="D7" s="19" t="str">
        <x:v>无源</x:v>
      </x:c>
      <x:c r="E7" s="19" t="str">
        <x:v>拉环与锁扣</x:v>
      </x:c>
      <x:c r="F7" s="19" t="str">
        <x:v>Latch/Pull-tab</x:v>
      </x:c>
      <x:c r="G7" s="19" t="str">
        <x:v>C001</x:v>
      </x:c>
      <x:c r="H7" s="19" t="str">
        <x:v>拉环、弹簧、锁扣</x:v>
      </x:c>
      <x:c r="I7" s="19" t="str">
        <x:v>插拔和固定模块</x:v>
      </x:c>
      <x:c r="J7" s="19" t="str">
        <x:v>插拔寿命、保持力</x:v>
      </x:c>
      <x:c r="K7" s="23" t="n">
        <x:v>1</x:v>
      </x:c>
      <x:c r="L7" s="23" t="n">
        <x:v>5</x:v>
      </x:c>
      <x:c r="M7" s="19" t="str">
        <x:v>套</x:v>
      </x:c>
      <x:c r="N7" s="19" t="str">
        <x:v>800G行业建模区间；具体速率见10_价格区间</x:v>
      </x:c>
      <x:c r="O7" s="19" t="str">
        <x:v>连接器与模块结构件厂</x:v>
      </x:c>
      <x:c r="P7" s="19" t="str">
        <x:v>S15</x:v>
      </x:c>
      <x:c r="Q7" s="19" t="str">
        <x:v>低</x:v>
      </x:c>
      <x:c r="R7" s="19" t="str">
        <x:v>形态标准定义机械边界；价格用于结构学习和BOM情景，不代表特定客户成交价</x:v>
      </x:c>
    </x:row>
    <x:row r="8" ht="15" hidden="0" customHeight="1">
      <x:c r="A8" s="19" t="str">
        <x:v>C004</x:v>
      </x:c>
      <x:c r="B8" s="19" t="str">
        <x:v>模块</x:v>
      </x:c>
      <x:c r="C8" s="19" t="str">
        <x:v>EMI</x:v>
      </x:c>
      <x:c r="D8" s="19" t="str">
        <x:v>无源</x:v>
      </x:c>
      <x:c r="E8" s="19" t="str">
        <x:v>EMI垫圈/屏蔽罩</x:v>
      </x:c>
      <x:c r="F8" s="19" t="str">
        <x:v>EMI Gasket/Shield</x:v>
      </x:c>
      <x:c r="G8" s="19" t="str">
        <x:v>C001</x:v>
      </x:c>
      <x:c r="H8" s="19" t="str">
        <x:v>金属弹片或导电泡棉</x:v>
      </x:c>
      <x:c r="I8" s="19" t="str">
        <x:v>抑制高速电磁泄漏</x:v>
      </x:c>
      <x:c r="J8" s="19" t="str">
        <x:v>屏蔽效能、接触电阻</x:v>
      </x:c>
      <x:c r="K8" s="23" t="n">
        <x:v>0.8</x:v>
      </x:c>
      <x:c r="L8" s="23" t="n">
        <x:v>4</x:v>
      </x:c>
      <x:c r="M8" s="19" t="str">
        <x:v>套</x:v>
      </x:c>
      <x:c r="N8" s="19" t="str">
        <x:v>800G行业建模区间；具体速率见10_价格区间</x:v>
      </x:c>
      <x:c r="O8" s="19" t="str">
        <x:v>Laird、Parker、结构件生态</x:v>
      </x:c>
      <x:c r="P8" s="19" t="str">
        <x:v>S15</x:v>
      </x:c>
      <x:c r="Q8" s="19" t="str">
        <x:v>低</x:v>
      </x:c>
      <x:c r="R8" s="19" t="str">
        <x:v>单价依尺寸与材料；价格用于结构学习和BOM情景，不代表特定客户成交价</x:v>
      </x:c>
    </x:row>
    <x:row r="9" ht="15" hidden="0" customHeight="1">
      <x:c r="A9" s="19" t="str">
        <x:v>C005</x:v>
      </x:c>
      <x:c r="B9" s="19" t="str">
        <x:v>板级</x:v>
      </x:c>
      <x:c r="C9" s="19" t="str">
        <x:v>电连接</x:v>
      </x:c>
      <x:c r="D9" s="19" t="str">
        <x:v>无源</x:v>
      </x:c>
      <x:c r="E9" s="19" t="str">
        <x:v>PCB</x:v>
      </x:c>
      <x:c r="F9" s="19" t="str">
        <x:v>Printed Circuit Board</x:v>
      </x:c>
      <x:c r="G9" s="19" t="str"/>
      <x:c r="H9" s="19" t="str">
        <x:v>多层高频板</x:v>
      </x:c>
      <x:c r="I9" s="19" t="str">
        <x:v>承载高速SerDes、电源与控制</x:v>
      </x:c>
      <x:c r="J9" s="19" t="str">
        <x:v>插损、串扰、层数、材料Dk/Df</x:v>
      </x:c>
      <x:c r="K9" s="23" t="n">
        <x:v>20</x:v>
      </x:c>
      <x:c r="L9" s="23" t="n">
        <x:v>40</x:v>
      </x:c>
      <x:c r="M9" s="19" t="str">
        <x:v>块</x:v>
      </x:c>
      <x:c r="N9" s="19" t="str">
        <x:v>800G行业建模区间；具体速率见10_价格区间</x:v>
      </x:c>
      <x:c r="O9" s="19" t="str">
        <x:v>TTM、深南电路、沪电股份</x:v>
      </x:c>
      <x:c r="P9" s="19" t="str">
        <x:v>S08</x:v>
      </x:c>
      <x:c r="Q9" s="19" t="str">
        <x:v>低</x:v>
      </x:c>
      <x:c r="R9" s="19" t="str">
        <x:v>厂商名单为生态示例，不代表特定SKU供应关系；价格用于结构学习和BOM情景，不代表特定客户成交价</x:v>
      </x:c>
    </x:row>
    <x:row r="10" ht="15" hidden="0" customHeight="1">
      <x:c r="A10" s="19" t="str">
        <x:v>C006</x:v>
      </x:c>
      <x:c r="B10" s="19" t="str">
        <x:v>板级</x:v>
      </x:c>
      <x:c r="C10" s="19" t="str">
        <x:v>电连接</x:v>
      </x:c>
      <x:c r="D10" s="19" t="str">
        <x:v>无源</x:v>
      </x:c>
      <x:c r="E10" s="19" t="str">
        <x:v>FPC/柔性板</x:v>
      </x:c>
      <x:c r="F10" s="19" t="str">
        <x:v>Flexible PCB</x:v>
      </x:c>
      <x:c r="G10" s="19" t="str"/>
      <x:c r="H10" s="19" t="str">
        <x:v>聚酰亚胺柔性线路</x:v>
      </x:c>
      <x:c r="I10" s="19" t="str">
        <x:v>连接光引擎、主板或连接器</x:v>
      </x:c>
      <x:c r="J10" s="19" t="str">
        <x:v>阻抗、弯折寿命、插损</x:v>
      </x:c>
      <x:c r="K10" s="23" t="n">
        <x:v>3</x:v>
      </x:c>
      <x:c r="L10" s="23" t="n">
        <x:v>15</x:v>
      </x:c>
      <x:c r="M10" s="19" t="str">
        <x:v>件</x:v>
      </x:c>
      <x:c r="N10" s="19" t="str">
        <x:v>800G行业建模区间；具体速率见10_价格区间</x:v>
      </x:c>
      <x:c r="O10" s="19" t="str">
        <x:v>FPC供应商生态</x:v>
      </x:c>
      <x:c r="P10" s="19" t="str">
        <x:v>S08</x:v>
      </x:c>
      <x:c r="Q10" s="19" t="str">
        <x:v>低</x:v>
      </x:c>
      <x:c r="R10" s="19" t="str">
        <x:v>并非所有模块都使用；价格用于结构学习和BOM情景，不代表特定客户成交价</x:v>
      </x:c>
    </x:row>
    <x:row r="11" ht="15" hidden="0" customHeight="1">
      <x:c r="A11" s="19" t="str">
        <x:v>C007</x:v>
      </x:c>
      <x:c r="B11" s="19" t="str">
        <x:v>光引擎</x:v>
      </x:c>
      <x:c r="C11" s="19" t="str">
        <x:v>封装</x:v>
      </x:c>
      <x:c r="D11" s="19" t="str">
        <x:v>无源</x:v>
      </x:c>
      <x:c r="E11" s="19" t="str">
        <x:v>光引擎基板</x:v>
      </x:c>
      <x:c r="F11" s="19" t="str">
        <x:v>Optical Engine Substrate</x:v>
      </x:c>
      <x:c r="G11" s="19" t="str"/>
      <x:c r="H11" s="19" t="str">
        <x:v>陶瓷/有机基板或Interposer</x:v>
      </x:c>
      <x:c r="I11" s="19" t="str">
        <x:v>承载PIC、激光器、驱动和TIA</x:v>
      </x:c>
      <x:c r="J11" s="19" t="str">
        <x:v>CTE、平整度、热阻、高速互连</x:v>
      </x:c>
      <x:c r="K11" s="23" t="n">
        <x:v>10</x:v>
      </x:c>
      <x:c r="L11" s="23" t="n">
        <x:v>40</x:v>
      </x:c>
      <x:c r="M11" s="19" t="str">
        <x:v>件</x:v>
      </x:c>
      <x:c r="N11" s="19" t="str">
        <x:v>800G行业建模区间；具体速率见10_价格区间</x:v>
      </x:c>
      <x:c r="O11" s="19" t="str">
        <x:v>ASE、Amkor、JCET等封装生态</x:v>
      </x:c>
      <x:c r="P11" s="19" t="str">
        <x:v>S14</x:v>
      </x:c>
      <x:c r="Q11" s="19" t="str">
        <x:v>低</x:v>
      </x:c>
      <x:c r="R11" s="19" t="str">
        <x:v>CPO中封装复杂度显著上升；价格用于结构学习和BOM情景，不代表特定客户成交价</x:v>
      </x:c>
    </x:row>
    <x:row r="12" ht="15" hidden="0" customHeight="1">
      <x:c r="A12" s="19" t="str">
        <x:v>C008</x:v>
      </x:c>
      <x:c r="B12" s="19" t="str">
        <x:v>板级</x:v>
      </x:c>
      <x:c r="C12" s="19" t="str">
        <x:v>电源</x:v>
      </x:c>
      <x:c r="D12" s="19" t="str">
        <x:v>有源</x:v>
      </x:c>
      <x:c r="E12" s="19" t="str">
        <x:v>电源管理芯片</x:v>
      </x:c>
      <x:c r="F12" s="19" t="str">
        <x:v>PMIC</x:v>
      </x:c>
      <x:c r="G12" s="19" t="str"/>
      <x:c r="H12" s="19" t="str">
        <x:v>QFN/BGA芯片</x:v>
      </x:c>
      <x:c r="I12" s="19" t="str">
        <x:v>多路降压、时序和监控</x:v>
      </x:c>
      <x:c r="J12" s="19" t="str">
        <x:v>效率、纹波、电流、热性能</x:v>
      </x:c>
      <x:c r="K12" s="23" t="n">
        <x:v>4</x:v>
      </x:c>
      <x:c r="L12" s="23" t="n">
        <x:v>15</x:v>
      </x:c>
      <x:c r="M12" s="19" t="str">
        <x:v>颗</x:v>
      </x:c>
      <x:c r="N12" s="19" t="str">
        <x:v>800G行业建模区间；具体速率见10_价格区间</x:v>
      </x:c>
      <x:c r="O12" s="19" t="str">
        <x:v>TI、ADI、MPS</x:v>
      </x:c>
      <x:c r="P12" s="19" t="str">
        <x:v>S08</x:v>
      </x:c>
      <x:c r="Q12" s="19" t="str">
        <x:v>低</x:v>
      </x:c>
      <x:c r="R12" s="19" t="str">
        <x:v>具体数量取决于功耗域；价格用于结构学习和BOM情景，不代表特定客户成交价</x:v>
      </x:c>
    </x:row>
    <x:row r="13" ht="15" hidden="0" customHeight="1">
      <x:c r="A13" s="19" t="str">
        <x:v>C009</x:v>
      </x:c>
      <x:c r="B13" s="19" t="str">
        <x:v>板级</x:v>
      </x:c>
      <x:c r="C13" s="19" t="str">
        <x:v>管理</x:v>
      </x:c>
      <x:c r="D13" s="19" t="str">
        <x:v>有源</x:v>
      </x:c>
      <x:c r="E13" s="19" t="str">
        <x:v>CMIS EEPROM</x:v>
      </x:c>
      <x:c r="F13" s="19" t="str">
        <x:v>CMIS EEPROM</x:v>
      </x:c>
      <x:c r="G13" s="19" t="str"/>
      <x:c r="H13" s="19" t="str">
        <x:v>小型存储芯片</x:v>
      </x:c>
      <x:c r="I13" s="19" t="str">
        <x:v>保存模块信息、阈值与校准数据</x:v>
      </x:c>
      <x:c r="J13" s="19" t="str">
        <x:v>容量、I2C速度、耐久性</x:v>
      </x:c>
      <x:c r="K13" s="23" t="n">
        <x:v>0.5</x:v>
      </x:c>
      <x:c r="L13" s="23" t="n">
        <x:v>3</x:v>
      </x:c>
      <x:c r="M13" s="19" t="str">
        <x:v>颗</x:v>
      </x:c>
      <x:c r="N13" s="19" t="str">
        <x:v>800G行业建模区间；具体速率见10_价格区间</x:v>
      </x:c>
      <x:c r="O13" s="19" t="str">
        <x:v>Microchip、ST、模块厂自选</x:v>
      </x:c>
      <x:c r="P13" s="19" t="str">
        <x:v>S17</x:v>
      </x:c>
      <x:c r="Q13" s="19" t="str">
        <x:v>低</x:v>
      </x:c>
      <x:c r="R13" s="19" t="str">
        <x:v>配合CMIS管理接口；价格用于结构学习和BOM情景，不代表特定客户成交价</x:v>
      </x:c>
    </x:row>
    <x:row r="14" ht="15" hidden="0" customHeight="1">
      <x:c r="A14" s="19" t="str">
        <x:v>C010</x:v>
      </x:c>
      <x:c r="B14" s="19" t="str">
        <x:v>板级</x:v>
      </x:c>
      <x:c r="C14" s="19" t="str">
        <x:v>控制</x:v>
      </x:c>
      <x:c r="D14" s="19" t="str">
        <x:v>有源</x:v>
      </x:c>
      <x:c r="E14" s="19" t="str">
        <x:v>MCU</x:v>
      </x:c>
      <x:c r="F14" s="19" t="str">
        <x:v>Microcontroller</x:v>
      </x:c>
      <x:c r="G14" s="19" t="str"/>
      <x:c r="H14" s="19" t="str">
        <x:v>QFN/BGA控制器</x:v>
      </x:c>
      <x:c r="I14" s="19" t="str">
        <x:v>状态机、告警、校准和固件</x:v>
      </x:c>
      <x:c r="J14" s="19" t="str">
        <x:v>Flash、I/O、功耗、安全</x:v>
      </x:c>
      <x:c r="K14" s="23" t="n">
        <x:v>1</x:v>
      </x:c>
      <x:c r="L14" s="23" t="n">
        <x:v>6</x:v>
      </x:c>
      <x:c r="M14" s="19" t="str">
        <x:v>颗</x:v>
      </x:c>
      <x:c r="N14" s="19" t="str">
        <x:v>800G行业建模区间；具体速率见10_价格区间</x:v>
      </x:c>
      <x:c r="O14" s="19" t="str">
        <x:v>ST、NXP、Microchip</x:v>
      </x:c>
      <x:c r="P14" s="19" t="str">
        <x:v>S17</x:v>
      </x:c>
      <x:c r="Q14" s="19" t="str">
        <x:v>低</x:v>
      </x:c>
      <x:c r="R14" s="19" t="str">
        <x:v>具体厂商不可由通用架构推定；价格用于结构学习和BOM情景，不代表特定客户成交价</x:v>
      </x:c>
    </x:row>
    <x:row r="15" ht="24" hidden="0" customHeight="1">
      <x:c r="A15" s="19" t="str">
        <x:v>C011</x:v>
      </x:c>
      <x:c r="B15" s="19" t="str">
        <x:v>板级</x:v>
      </x:c>
      <x:c r="C15" s="19" t="str">
        <x:v>高速电</x:v>
      </x:c>
      <x:c r="D15" s="19" t="str">
        <x:v>有源</x:v>
      </x:c>
      <x:c r="E15" s="19" t="str">
        <x:v>DSP</x:v>
      </x:c>
      <x:c r="F15" s="19" t="str">
        <x:v>Digital Signal Processor</x:v>
      </x:c>
      <x:c r="G15" s="19" t="str"/>
      <x:c r="H15" s="19" t="str">
        <x:v>高引脚BGA裸片/封装</x:v>
      </x:c>
      <x:c r="I15" s="19" t="str">
        <x:v>PAM4均衡、FEC相关处理、监控</x:v>
      </x:c>
      <x:c r="J15" s="19" t="str">
        <x:v>吞吐、SerDes速率、功耗、时延</x:v>
      </x:c>
      <x:c r="K15" s="23" t="n">
        <x:v>70</x:v>
      </x:c>
      <x:c r="L15" s="23" t="n">
        <x:v>110</x:v>
      </x:c>
      <x:c r="M15" s="19" t="str">
        <x:v>颗</x:v>
      </x:c>
      <x:c r="N15" s="19" t="str">
        <x:v>800G行业建模区间；具体速率见10_价格区间</x:v>
      </x:c>
      <x:c r="O15" s="19" t="str">
        <x:v>Marvell、Broadcom、Credo</x:v>
      </x:c>
      <x:c r="P15" s="19" t="str">
        <x:v>S28;S29;S30</x:v>
      </x:c>
      <x:c r="Q15" s="19" t="str">
        <x:v>低</x:v>
      </x:c>
      <x:c r="R15" s="19" t="str">
        <x:v>Retimed结构的成本和功耗核心；价格用于结构学习和BOM情景，不代表特定客户成交价</x:v>
      </x:c>
    </x:row>
    <x:row r="16" ht="24" hidden="0" customHeight="1">
      <x:c r="A16" s="19" t="str">
        <x:v>C012</x:v>
      </x:c>
      <x:c r="B16" s="19" t="str">
        <x:v>板级</x:v>
      </x:c>
      <x:c r="C16" s="19" t="str">
        <x:v>高速电</x:v>
      </x:c>
      <x:c r="D16" s="19" t="str">
        <x:v>有源</x:v>
      </x:c>
      <x:c r="E16" s="19" t="str">
        <x:v>Gearbox</x:v>
      </x:c>
      <x:c r="F16" s="19" t="str">
        <x:v>Gearbox</x:v>
      </x:c>
      <x:c r="G16" s="19" t="str">
        <x:v>C011</x:v>
      </x:c>
      <x:c r="H16" s="19" t="str">
        <x:v>通常集成在DSP</x:v>
      </x:c>
      <x:c r="I16" s="19" t="str">
        <x:v>在8×100G与4×200G等通道组织间转换</x:v>
      </x:c>
      <x:c r="J16" s="19" t="str">
        <x:v>lane mapping、BER、功耗、时延</x:v>
      </x:c>
      <x:c r="K16" s="23"/>
      <x:c r="L16" s="23"/>
      <x:c r="M16" s="19" t="str">
        <x:v>功能</x:v>
      </x:c>
      <x:c r="N16" s="19" t="str">
        <x:v>集成于DSP</x:v>
      </x:c>
      <x:c r="O16" s="19" t="str">
        <x:v>DSP供应商</x:v>
      </x:c>
      <x:c r="P16" s="19" t="str">
        <x:v>S06;S18</x:v>
      </x:c>
      <x:c r="Q16" s="19" t="str">
        <x:v>高</x:v>
      </x:c>
      <x:c r="R16" s="19" t="str">
        <x:v>800G 8×100G电侧+4×200G光侧的关键功能</x:v>
      </x:c>
    </x:row>
    <x:row r="17" ht="15" hidden="0" customHeight="1">
      <x:c r="A17" s="19" t="str">
        <x:v>C013</x:v>
      </x:c>
      <x:c r="B17" s="19" t="str">
        <x:v>板级</x:v>
      </x:c>
      <x:c r="C17" s="19" t="str">
        <x:v>高速电</x:v>
      </x:c>
      <x:c r="D17" s="19" t="str">
        <x:v>有源</x:v>
      </x:c>
      <x:c r="E17" s="19" t="str">
        <x:v>CDR/Retimer</x:v>
      </x:c>
      <x:c r="F17" s="19" t="str">
        <x:v>Clock and Data Recovery</x:v>
      </x:c>
      <x:c r="G17" s="19" t="str"/>
      <x:c r="H17" s="19" t="str">
        <x:v>高速模拟混合信号芯片</x:v>
      </x:c>
      <x:c r="I17" s="19" t="str">
        <x:v>恢复时钟并重整波形</x:v>
      </x:c>
      <x:c r="J17" s="19" t="str">
        <x:v>jitter tolerance、BER、功耗</x:v>
      </x:c>
      <x:c r="K17" s="23" t="n">
        <x:v>30</x:v>
      </x:c>
      <x:c r="L17" s="23" t="n">
        <x:v>90</x:v>
      </x:c>
      <x:c r="M17" s="19" t="str">
        <x:v>颗</x:v>
      </x:c>
      <x:c r="N17" s="19" t="str">
        <x:v>800G行业建模区间；具体速率见10_价格区间</x:v>
      </x:c>
      <x:c r="O17" s="19" t="str">
        <x:v>Credo、Macom、Semtech等</x:v>
      </x:c>
      <x:c r="P17" s="19" t="str">
        <x:v>S13;S18</x:v>
      </x:c>
      <x:c r="Q17" s="19" t="str">
        <x:v>低</x:v>
      </x:c>
      <x:c r="R17" s="19" t="str">
        <x:v>LRO/RTLR的边界依实现不同；价格用于结构学习和BOM情景，不代表特定客户成交价</x:v>
      </x:c>
    </x:row>
    <x:row r="18" ht="24" hidden="0" customHeight="1">
      <x:c r="A18" s="19" t="str">
        <x:v>C014</x:v>
      </x:c>
      <x:c r="B18" s="19" t="str">
        <x:v>光引擎</x:v>
      </x:c>
      <x:c r="C18" s="19" t="str">
        <x:v>发射电</x:v>
      </x:c>
      <x:c r="D18" s="19" t="str">
        <x:v>有源</x:v>
      </x:c>
      <x:c r="E18" s="19" t="str">
        <x:v>激光驱动器</x:v>
      </x:c>
      <x:c r="F18" s="19" t="str">
        <x:v>Laser Driver</x:v>
      </x:c>
      <x:c r="G18" s="19" t="str"/>
      <x:c r="H18" s="19" t="str">
        <x:v>靠近激光器/PIC的高速芯片</x:v>
      </x:c>
      <x:c r="I18" s="19" t="str">
        <x:v>将电信号转换为调制驱动</x:v>
      </x:c>
      <x:c r="J18" s="19" t="str">
        <x:v>输出摆幅、带宽、线性度、功耗</x:v>
      </x:c>
      <x:c r="K18" s="23" t="n">
        <x:v>15</x:v>
      </x:c>
      <x:c r="L18" s="23" t="n">
        <x:v>35</x:v>
      </x:c>
      <x:c r="M18" s="19" t="str">
        <x:v>颗/阵列</x:v>
      </x:c>
      <x:c r="N18" s="19" t="str">
        <x:v>800G行业建模区间；具体速率见10_价格区间</x:v>
      </x:c>
      <x:c r="O18" s="19" t="str">
        <x:v>MACOM、Semtech、Broadcom、Marvell</x:v>
      </x:c>
      <x:c r="P18" s="19" t="str">
        <x:v>S28;S29;S33;S42</x:v>
      </x:c>
      <x:c r="Q18" s="19" t="str">
        <x:v>低</x:v>
      </x:c>
      <x:c r="R18" s="19" t="str">
        <x:v>LPO对线性度和系统协同要求更高；价格用于结构学习和BOM情景，不代表特定客户成交价</x:v>
      </x:c>
    </x:row>
    <x:row r="19" ht="24" hidden="0" customHeight="1">
      <x:c r="A19" s="19" t="str">
        <x:v>C015</x:v>
      </x:c>
      <x:c r="B19" s="19" t="str">
        <x:v>光引擎</x:v>
      </x:c>
      <x:c r="C19" s="19" t="str">
        <x:v>接收电</x:v>
      </x:c>
      <x:c r="D19" s="19" t="str">
        <x:v>有源</x:v>
      </x:c>
      <x:c r="E19" s="19" t="str">
        <x:v>TIA</x:v>
      </x:c>
      <x:c r="F19" s="19" t="str">
        <x:v>Transimpedance Amplifier</x:v>
      </x:c>
      <x:c r="G19" s="19" t="str"/>
      <x:c r="H19" s="19" t="str">
        <x:v>紧邻PD的高速芯片</x:v>
      </x:c>
      <x:c r="I19" s="19" t="str">
        <x:v>将光电流转换为电压</x:v>
      </x:c>
      <x:c r="J19" s="19" t="str">
        <x:v>输入噪声、带宽、增益、过载</x:v>
      </x:c>
      <x:c r="K19" s="23" t="n">
        <x:v>15</x:v>
      </x:c>
      <x:c r="L19" s="23" t="n">
        <x:v>35</x:v>
      </x:c>
      <x:c r="M19" s="19" t="str">
        <x:v>颗/阵列</x:v>
      </x:c>
      <x:c r="N19" s="19" t="str">
        <x:v>800G行业建模区间；具体速率见10_价格区间</x:v>
      </x:c>
      <x:c r="O19" s="19" t="str">
        <x:v>MACOM、Semtech、Broadcom、Marvell</x:v>
      </x:c>
      <x:c r="P19" s="19" t="str">
        <x:v>S28;S29;S33;S42</x:v>
      </x:c>
      <x:c r="Q19" s="19" t="str">
        <x:v>低</x:v>
      </x:c>
      <x:c r="R19" s="19" t="str">
        <x:v>布局需压缩PD到TIA寄生；价格用于结构学习和BOM情景，不代表特定客户成交价</x:v>
      </x:c>
    </x:row>
    <x:row r="20" ht="24" hidden="0" customHeight="1">
      <x:c r="A20" s="19" t="str">
        <x:v>C016</x:v>
      </x:c>
      <x:c r="B20" s="19" t="str">
        <x:v>光芯片</x:v>
      </x:c>
      <x:c r="C20" s="19" t="str">
        <x:v>光源</x:v>
      </x:c>
      <x:c r="D20" s="19" t="str">
        <x:v>有源</x:v>
      </x:c>
      <x:c r="E20" s="19" t="str">
        <x:v>VCSEL阵列</x:v>
      </x:c>
      <x:c r="F20" s="19" t="str">
        <x:v>VCSEL Array</x:v>
      </x:c>
      <x:c r="G20" s="19" t="str"/>
      <x:c r="H20" s="19" t="str">
        <x:v>表面发光二维/一维阵列</x:v>
      </x:c>
      <x:c r="I20" s="19" t="str">
        <x:v>产生850nm短距光信号</x:v>
      </x:c>
      <x:c r="J20" s="19" t="str">
        <x:v>阈值电流、带宽、功率、RIN、可靠性</x:v>
      </x:c>
      <x:c r="K20" s="23" t="n">
        <x:v>25</x:v>
      </x:c>
      <x:c r="L20" s="23" t="n">
        <x:v>70</x:v>
      </x:c>
      <x:c r="M20" s="19" t="str">
        <x:v>阵列</x:v>
      </x:c>
      <x:c r="N20" s="19" t="str">
        <x:v>800G行业建模区间；具体速率见10_价格区间</x:v>
      </x:c>
      <x:c r="O20" s="19" t="str">
        <x:v>Coherent、Broadcom、Lumentum、ams OSRAM</x:v>
      </x:c>
      <x:c r="P20" s="19" t="str">
        <x:v>S30;S32</x:v>
      </x:c>
      <x:c r="Q20" s="19" t="str">
        <x:v>低</x:v>
      </x:c>
      <x:c r="R20" s="19" t="str">
        <x:v>常用于SR/VR多模路线；价格用于结构学习和BOM情景，不代表特定客户成交价</x:v>
      </x:c>
    </x:row>
    <x:row r="21" ht="15" hidden="0" customHeight="1">
      <x:c r="A21" s="19" t="str">
        <x:v>C017</x:v>
      </x:c>
      <x:c r="B21" s="19" t="str">
        <x:v>微结构</x:v>
      </x:c>
      <x:c r="C21" s="19" t="str">
        <x:v>VCSEL</x:v>
      </x:c>
      <x:c r="D21" s="19" t="str">
        <x:v>混合</x:v>
      </x:c>
      <x:c r="E21" s="19" t="str">
        <x:v>氧化孔径</x:v>
      </x:c>
      <x:c r="F21" s="19" t="str">
        <x:v>Oxide Aperture</x:v>
      </x:c>
      <x:c r="G21" s="19" t="str">
        <x:v>C016</x:v>
      </x:c>
      <x:c r="H21" s="19" t="str">
        <x:v>环形氧化层形成微米级孔径</x:v>
      </x:c>
      <x:c r="I21" s="19" t="str">
        <x:v>限制电流和横向光场</x:v>
      </x:c>
      <x:c r="J21" s="19" t="str">
        <x:v>孔径尺寸、均匀性、氧化深度</x:v>
      </x:c>
      <x:c r="K21" s="23"/>
      <x:c r="L21" s="23"/>
      <x:c r="M21" s="19" t="str">
        <x:v>内嵌结构</x:v>
      </x:c>
      <x:c r="N21" s="19" t="str">
        <x:v>不可单独采购</x:v>
      </x:c>
      <x:c r="O21" s="19" t="str">
        <x:v>VCSEL晶圆厂</x:v>
      </x:c>
      <x:c r="P21" s="19" t="str">
        <x:v>S19</x:v>
      </x:c>
      <x:c r="Q21" s="19" t="str">
        <x:v>中</x:v>
      </x:c>
      <x:c r="R21" s="19" t="str">
        <x:v>影响模式、效率和可靠性</x:v>
      </x:c>
    </x:row>
    <x:row r="22" ht="15" hidden="0" customHeight="1">
      <x:c r="A22" s="19" t="str">
        <x:v>C018</x:v>
      </x:c>
      <x:c r="B22" s="19" t="str">
        <x:v>微结构</x:v>
      </x:c>
      <x:c r="C22" s="19" t="str">
        <x:v>VCSEL</x:v>
      </x:c>
      <x:c r="D22" s="19" t="str">
        <x:v>无源</x:v>
      </x:c>
      <x:c r="E22" s="19" t="str">
        <x:v>DBR反射镜</x:v>
      </x:c>
      <x:c r="F22" s="19" t="str">
        <x:v>Distributed Bragg Reflector</x:v>
      </x:c>
      <x:c r="G22" s="19" t="str">
        <x:v>C016</x:v>
      </x:c>
      <x:c r="H22" s="19" t="str">
        <x:v>交替高低折射率外延层</x:v>
      </x:c>
      <x:c r="I22" s="19" t="str">
        <x:v>形成垂直谐振腔反射镜</x:v>
      </x:c>
      <x:c r="J22" s="19" t="str">
        <x:v>反射率、周期数、中心波长</x:v>
      </x:c>
      <x:c r="K22" s="23"/>
      <x:c r="L22" s="23"/>
      <x:c r="M22" s="19" t="str">
        <x:v>内嵌结构</x:v>
      </x:c>
      <x:c r="N22" s="19" t="str">
        <x:v>不可单独采购</x:v>
      </x:c>
      <x:c r="O22" s="19" t="str">
        <x:v>VCSEL晶圆厂</x:v>
      </x:c>
      <x:c r="P22" s="19" t="str">
        <x:v>S19</x:v>
      </x:c>
      <x:c r="Q22" s="19" t="str">
        <x:v>高</x:v>
      </x:c>
      <x:c r="R22" s="19" t="str">
        <x:v>上下DBR与有源区共同定义腔体</x:v>
      </x:c>
    </x:row>
    <x:row r="23" ht="15" hidden="0" customHeight="1">
      <x:c r="A23" s="19" t="str">
        <x:v>C019</x:v>
      </x:c>
      <x:c r="B23" s="19" t="str">
        <x:v>微结构</x:v>
      </x:c>
      <x:c r="C23" s="19" t="str">
        <x:v>VCSEL</x:v>
      </x:c>
      <x:c r="D23" s="19" t="str">
        <x:v>混合</x:v>
      </x:c>
      <x:c r="E23" s="19" t="str">
        <x:v>垂直谐振腔</x:v>
      </x:c>
      <x:c r="F23" s="19" t="str">
        <x:v>Vertical Resonant Cavity</x:v>
      </x:c>
      <x:c r="G23" s="19" t="str">
        <x:v>C016</x:v>
      </x:c>
      <x:c r="H23" s="19" t="str">
        <x:v>上下DBR之间的短光腔</x:v>
      </x:c>
      <x:c r="I23" s="19" t="str">
        <x:v>选择纵模并增强受激辐射</x:v>
      </x:c>
      <x:c r="J23" s="19" t="str">
        <x:v>腔长、Q值、模式、温漂</x:v>
      </x:c>
      <x:c r="K23" s="23"/>
      <x:c r="L23" s="23"/>
      <x:c r="M23" s="19" t="str">
        <x:v>内嵌结构</x:v>
      </x:c>
      <x:c r="N23" s="19" t="str">
        <x:v>不可单独采购</x:v>
      </x:c>
      <x:c r="O23" s="19" t="str">
        <x:v>VCSEL晶圆厂</x:v>
      </x:c>
      <x:c r="P23" s="19" t="str">
        <x:v>S19</x:v>
      </x:c>
      <x:c r="Q23" s="19" t="str">
        <x:v>高</x:v>
      </x:c>
      <x:c r="R23" s="19" t="str">
        <x:v>用户要求的谐振腔层级在此展开</x:v>
      </x:c>
    </x:row>
    <x:row r="24" ht="24" hidden="0" customHeight="1">
      <x:c r="A24" s="19" t="str">
        <x:v>C020</x:v>
      </x:c>
      <x:c r="B24" s="19" t="str">
        <x:v>光芯片</x:v>
      </x:c>
      <x:c r="C24" s="19" t="str">
        <x:v>光源</x:v>
      </x:c>
      <x:c r="D24" s="19" t="str">
        <x:v>有源</x:v>
      </x:c>
      <x:c r="E24" s="19" t="str">
        <x:v>DML</x:v>
      </x:c>
      <x:c r="F24" s="19" t="str">
        <x:v>Directly Modulated Laser</x:v>
      </x:c>
      <x:c r="G24" s="19" t="str"/>
      <x:c r="H24" s="19" t="str">
        <x:v>边发射DFB激光器</x:v>
      </x:c>
      <x:c r="I24" s="19" t="str">
        <x:v>电流直接调制输出光</x:v>
      </x:c>
      <x:c r="J24" s="19" t="str">
        <x:v>带宽、chirp、功率、SMSR</x:v>
      </x:c>
      <x:c r="K24" s="23" t="n">
        <x:v>5</x:v>
      </x:c>
      <x:c r="L24" s="23" t="n">
        <x:v>12</x:v>
      </x:c>
      <x:c r="M24" s="19" t="str">
        <x:v>颗/阵列</x:v>
      </x:c>
      <x:c r="N24" s="19" t="str">
        <x:v>800G行业建模区间；具体速率见10_价格区间</x:v>
      </x:c>
      <x:c r="O24" s="19" t="str">
        <x:v>Lumentum、Coherent、Mitsubishi、Source Photonics</x:v>
      </x:c>
      <x:c r="P24" s="19" t="str">
        <x:v>S20</x:v>
      </x:c>
      <x:c r="Q24" s="19" t="str">
        <x:v>低</x:v>
      </x:c>
      <x:c r="R24" s="19" t="str">
        <x:v>结构较简但高速/长距受chirp约束；价格用于结构学习和BOM情景，不代表特定客户成交价</x:v>
      </x:c>
    </x:row>
    <x:row r="25" ht="24" hidden="0" customHeight="1">
      <x:c r="A25" s="19" t="str">
        <x:v>C021</x:v>
      </x:c>
      <x:c r="B25" s="19" t="str">
        <x:v>光芯片</x:v>
      </x:c>
      <x:c r="C25" s="19" t="str">
        <x:v>光源</x:v>
      </x:c>
      <x:c r="D25" s="19" t="str">
        <x:v>有源</x:v>
      </x:c>
      <x:c r="E25" s="19" t="str">
        <x:v>EML</x:v>
      </x:c>
      <x:c r="F25" s="19" t="str">
        <x:v>Electro-absorption Modulated Laser</x:v>
      </x:c>
      <x:c r="G25" s="19" t="str"/>
      <x:c r="H25" s="19" t="str">
        <x:v>DFB激光器与EAM集成</x:v>
      </x:c>
      <x:c r="I25" s="19" t="str">
        <x:v>连续激光经电吸收调制</x:v>
      </x:c>
      <x:c r="J25" s="19" t="str">
        <x:v>ER、OMA、TDECQ、功耗、波长</x:v>
      </x:c>
      <x:c r="K25" s="23" t="n">
        <x:v>10</x:v>
      </x:c>
      <x:c r="L25" s="23" t="n">
        <x:v>35</x:v>
      </x:c>
      <x:c r="M25" s="19" t="str">
        <x:v>颗/阵列</x:v>
      </x:c>
      <x:c r="N25" s="19" t="str">
        <x:v>800G行业建模区间；具体速率见10_价格区间</x:v>
      </x:c>
      <x:c r="O25" s="19" t="str">
        <x:v>Lumentum、Coherent、Mitsubishi Electric、Sumitomo Electric</x:v>
      </x:c>
      <x:c r="P25" s="19" t="str">
        <x:v>S06;S31;S40</x:v>
      </x:c>
      <x:c r="Q25" s="19" t="str">
        <x:v>低</x:v>
      </x:c>
      <x:c r="R25" s="19" t="str">
        <x:v>常用于400G/800G单模路线；价格用于结构学习和BOM情景，不代表特定客户成交价</x:v>
      </x:c>
    </x:row>
    <x:row r="26" ht="15" hidden="0" customHeight="1">
      <x:c r="A26" s="19" t="str">
        <x:v>C022</x:v>
      </x:c>
      <x:c r="B26" s="19" t="str">
        <x:v>微结构</x:v>
      </x:c>
      <x:c r="C26" s="19" t="str">
        <x:v>激光器</x:v>
      </x:c>
      <x:c r="D26" s="19" t="str">
        <x:v>无源</x:v>
      </x:c>
      <x:c r="E26" s="19" t="str">
        <x:v>布拉格光栅</x:v>
      </x:c>
      <x:c r="F26" s="19" t="str">
        <x:v>Bragg Grating</x:v>
      </x:c>
      <x:c r="G26" s="19" t="str">
        <x:v>C020/C021/C023</x:v>
      </x:c>
      <x:c r="H26" s="19" t="str">
        <x:v>周期折射率调制结构</x:v>
      </x:c>
      <x:c r="I26" s="19" t="str">
        <x:v>选择和反馈特定波长</x:v>
      </x:c>
      <x:c r="J26" s="19" t="str">
        <x:v>周期、耦合系数、带宽、反射率</x:v>
      </x:c>
      <x:c r="K26" s="23"/>
      <x:c r="L26" s="23"/>
      <x:c r="M26" s="19" t="str">
        <x:v>内嵌结构</x:v>
      </x:c>
      <x:c r="N26" s="19" t="str">
        <x:v>不可单独采购</x:v>
      </x:c>
      <x:c r="O26" s="19" t="str">
        <x:v>激光器/PIC厂</x:v>
      </x:c>
      <x:c r="P26" s="19" t="str">
        <x:v>S20</x:v>
      </x:c>
      <x:c r="Q26" s="19" t="str">
        <x:v>高</x:v>
      </x:c>
      <x:c r="R26" s="19" t="str">
        <x:v>DFB/DBR激光器和部分PIC滤波结构的基础</x:v>
      </x:c>
    </x:row>
    <x:row r="27" ht="24" hidden="0" customHeight="1">
      <x:c r="A27" s="19" t="str">
        <x:v>C023</x:v>
      </x:c>
      <x:c r="B27" s="19" t="str">
        <x:v>光芯片</x:v>
      </x:c>
      <x:c r="C27" s="19" t="str">
        <x:v>光源</x:v>
      </x:c>
      <x:c r="D27" s="19" t="str">
        <x:v>有源</x:v>
      </x:c>
      <x:c r="E27" s="19" t="str">
        <x:v>CW DFB激光器</x:v>
      </x:c>
      <x:c r="F27" s="19" t="str">
        <x:v>CW DFB Laser</x:v>
      </x:c>
      <x:c r="G27" s="19" t="str"/>
      <x:c r="H27" s="19" t="str">
        <x:v>单波长连续光边发射激光器</x:v>
      </x:c>
      <x:c r="I27" s="19" t="str">
        <x:v>为SiPh调制器提供连续光</x:v>
      </x:c>
      <x:c r="J27" s="19" t="str">
        <x:v>功率、线宽、RIN、波长稳定、效率</x:v>
      </x:c>
      <x:c r="K27" s="23" t="n">
        <x:v>3</x:v>
      </x:c>
      <x:c r="L27" s="23" t="n">
        <x:v>12</x:v>
      </x:c>
      <x:c r="M27" s="19" t="str">
        <x:v>颗/阵列</x:v>
      </x:c>
      <x:c r="N27" s="19" t="str">
        <x:v>800G行业建模区间；具体速率见10_价格区间</x:v>
      </x:c>
      <x:c r="O27" s="19" t="str">
        <x:v>Lumentum、Coherent、Broadcom、Mitsubishi Electric</x:v>
      </x:c>
      <x:c r="P27" s="19" t="str">
        <x:v>S30;S39;S40</x:v>
      </x:c>
      <x:c r="Q27" s="19" t="str">
        <x:v>低</x:v>
      </x:c>
      <x:c r="R27" s="19" t="str">
        <x:v>可内部集成，也可由ELSFP外置供光；价格用于结构学习和BOM情景，不代表特定客户成交价</x:v>
      </x:c>
    </x:row>
    <x:row r="28" ht="24" hidden="0" customHeight="1">
      <x:c r="A28" s="19" t="str">
        <x:v>C024</x:v>
      </x:c>
      <x:c r="B28" s="19" t="str">
        <x:v>系统</x:v>
      </x:c>
      <x:c r="C28" s="19" t="str">
        <x:v>光源</x:v>
      </x:c>
      <x:c r="D28" s="19" t="str">
        <x:v>有源</x:v>
      </x:c>
      <x:c r="E28" s="19" t="str">
        <x:v>外置激光源</x:v>
      </x:c>
      <x:c r="F28" s="19" t="str">
        <x:v>External Laser Source/ELSFP</x:v>
      </x:c>
      <x:c r="G28" s="19" t="str"/>
      <x:c r="H28" s="19" t="str">
        <x:v>可插拔激光源与PMF输出</x:v>
      </x:c>
      <x:c r="I28" s="19" t="str">
        <x:v>向CPO/LPO光引擎分发CW光</x:v>
      </x:c>
      <x:c r="J28" s="19" t="str">
        <x:v>总功率、RIN、线宽、冗余、可维护性</x:v>
      </x:c>
      <x:c r="K28" s="23" t="n">
        <x:v>400</x:v>
      </x:c>
      <x:c r="L28" s="23" t="n">
        <x:v>1200</x:v>
      </x:c>
      <x:c r="M28" s="19" t="str">
        <x:v>模块</x:v>
      </x:c>
      <x:c r="N28" s="19" t="str">
        <x:v>800G行业建模区间；具体速率见10_价格区间</x:v>
      </x:c>
      <x:c r="O28" s="19" t="str">
        <x:v>Lumentum、Coherent、Broadcom生态</x:v>
      </x:c>
      <x:c r="P28" s="19" t="str">
        <x:v>S14;S39;S40</x:v>
      </x:c>
      <x:c r="Q28" s="19" t="str">
        <x:v>低</x:v>
      </x:c>
      <x:c r="R28" s="19" t="str">
        <x:v>外置方案需光功率分配和故障隔离；价格用于结构学习和BOM情景，不代表特定客户成交价</x:v>
      </x:c>
    </x:row>
    <x:row r="29" ht="24" hidden="0" customHeight="1">
      <x:c r="A29" s="19" t="str">
        <x:v>C025</x:v>
      </x:c>
      <x:c r="B29" s="19" t="str">
        <x:v>光芯片</x:v>
      </x:c>
      <x:c r="C29" s="19" t="str">
        <x:v>光子集成</x:v>
      </x:c>
      <x:c r="D29" s="19" t="str">
        <x:v>混合</x:v>
      </x:c>
      <x:c r="E29" s="19" t="str">
        <x:v>硅光PIC</x:v>
      </x:c>
      <x:c r="F29" s="19" t="str">
        <x:v>Silicon Photonics PIC</x:v>
      </x:c>
      <x:c r="G29" s="19" t="str"/>
      <x:c r="H29" s="19" t="str">
        <x:v>硅波导、调制器、耦合器和PD集成芯片</x:v>
      </x:c>
      <x:c r="I29" s="19" t="str">
        <x:v>完成光调制、路由、复用和探测</x:v>
      </x:c>
      <x:c r="J29" s="19" t="str">
        <x:v>插损、VπL、带宽、耦合损耗、良率</x:v>
      </x:c>
      <x:c r="K29" s="23" t="n">
        <x:v>20</x:v>
      </x:c>
      <x:c r="L29" s="23" t="n">
        <x:v>60</x:v>
      </x:c>
      <x:c r="M29" s="19" t="str">
        <x:v>颗</x:v>
      </x:c>
      <x:c r="N29" s="19" t="str">
        <x:v>800G行业建模区间；具体速率见10_价格区间</x:v>
      </x:c>
      <x:c r="O29" s="19" t="str">
        <x:v>Broadcom、Marvell、Intel、Cisco/Acacia、Coherent；TSMC等为代工生态</x:v>
      </x:c>
      <x:c r="P29" s="19" t="str">
        <x:v>S06;S08;S28;S29;S30;S40</x:v>
      </x:c>
      <x:c r="Q29" s="19" t="str">
        <x:v>低</x:v>
      </x:c>
      <x:c r="R29" s="19" t="str">
        <x:v>具体器件组合取决于平台；价格用于结构学习和BOM情景，不代表特定客户成交价</x:v>
      </x:c>
    </x:row>
    <x:row r="30" ht="15" hidden="0" customHeight="1">
      <x:c r="A30" s="19" t="str">
        <x:v>C026</x:v>
      </x:c>
      <x:c r="B30" s="19" t="str">
        <x:v>微结构</x:v>
      </x:c>
      <x:c r="C30" s="19" t="str">
        <x:v>调制器</x:v>
      </x:c>
      <x:c r="D30" s="19" t="str">
        <x:v>有源</x:v>
      </x:c>
      <x:c r="E30" s="19" t="str">
        <x:v>MZM</x:v>
      </x:c>
      <x:c r="F30" s="19" t="str">
        <x:v>Mach-Zehnder Modulator</x:v>
      </x:c>
      <x:c r="G30" s="19" t="str">
        <x:v>C025</x:v>
      </x:c>
      <x:c r="H30" s="19" t="str">
        <x:v>两臂干涉仪与相移器</x:v>
      </x:c>
      <x:c r="I30" s="19" t="str">
        <x:v>把电信号转为光强/相位变化</x:v>
      </x:c>
      <x:c r="J30" s="19" t="str">
        <x:v>VπL、ER、带宽、chirp、插损</x:v>
      </x:c>
      <x:c r="K30" s="23"/>
      <x:c r="L30" s="23"/>
      <x:c r="M30" s="19" t="str">
        <x:v>内嵌结构</x:v>
      </x:c>
      <x:c r="N30" s="19" t="str">
        <x:v>不可单独采购</x:v>
      </x:c>
      <x:c r="O30" s="19" t="str">
        <x:v>SiPh厂商</x:v>
      </x:c>
      <x:c r="P30" s="19" t="str">
        <x:v>S21</x:v>
      </x:c>
      <x:c r="Q30" s="19" t="str">
        <x:v>高</x:v>
      </x:c>
      <x:c r="R30" s="19" t="str">
        <x:v>长度较长但控制成熟</x:v>
      </x:c>
    </x:row>
    <x:row r="31" ht="15" hidden="0" customHeight="1">
      <x:c r="A31" s="19" t="str">
        <x:v>C027</x:v>
      </x:c>
      <x:c r="B31" s="19" t="str">
        <x:v>微结构</x:v>
      </x:c>
      <x:c r="C31" s="19" t="str">
        <x:v>调制器</x:v>
      </x:c>
      <x:c r="D31" s="19" t="str">
        <x:v>有源</x:v>
      </x:c>
      <x:c r="E31" s="19" t="str">
        <x:v>微环调制器</x:v>
      </x:c>
      <x:c r="F31" s="19" t="str">
        <x:v>Microring Modulator</x:v>
      </x:c>
      <x:c r="G31" s="19" t="str">
        <x:v>C025</x:v>
      </x:c>
      <x:c r="H31" s="19" t="str">
        <x:v>环形波导与总线波导耦合</x:v>
      </x:c>
      <x:c r="I31" s="19" t="str">
        <x:v>利用谐振波长漂移调制光</x:v>
      </x:c>
      <x:c r="J31" s="19" t="str">
        <x:v>Q值、FSR、带宽、热调谐功耗、漂移</x:v>
      </x:c>
      <x:c r="K31" s="23"/>
      <x:c r="L31" s="23"/>
      <x:c r="M31" s="19" t="str">
        <x:v>内嵌结构</x:v>
      </x:c>
      <x:c r="N31" s="19" t="str">
        <x:v>不可单独采购</x:v>
      </x:c>
      <x:c r="O31" s="19" t="str">
        <x:v>SiPh厂商</x:v>
      </x:c>
      <x:c r="P31" s="19" t="str">
        <x:v>S21</x:v>
      </x:c>
      <x:c r="Q31" s="19" t="str">
        <x:v>高</x:v>
      </x:c>
      <x:c r="R31" s="19" t="str">
        <x:v>尺寸小，但温度和工艺敏感</x:v>
      </x:c>
    </x:row>
    <x:row r="32" ht="15" hidden="0" customHeight="1">
      <x:c r="A32" s="19" t="str">
        <x:v>C028</x:v>
      </x:c>
      <x:c r="B32" s="19" t="str">
        <x:v>微结构</x:v>
      </x:c>
      <x:c r="C32" s="19" t="str">
        <x:v>调制器</x:v>
      </x:c>
      <x:c r="D32" s="19" t="str">
        <x:v>有源</x:v>
      </x:c>
      <x:c r="E32" s="19" t="str">
        <x:v>PN结相移器</x:v>
      </x:c>
      <x:c r="F32" s="19" t="str">
        <x:v>PN Junction Phase Shifter</x:v>
      </x:c>
      <x:c r="G32" s="19" t="str">
        <x:v>C026/C027</x:v>
      </x:c>
      <x:c r="H32" s="19" t="str">
        <x:v>掺杂硅波导PN结</x:v>
      </x:c>
      <x:c r="I32" s="19" t="str">
        <x:v>通过载流子色散改变折射率</x:v>
      </x:c>
      <x:c r="J32" s="19" t="str">
        <x:v>VπL、损耗、带宽、掺杂均匀性</x:v>
      </x:c>
      <x:c r="K32" s="23"/>
      <x:c r="L32" s="23"/>
      <x:c r="M32" s="19" t="str">
        <x:v>内嵌结构</x:v>
      </x:c>
      <x:c r="N32" s="19" t="str">
        <x:v>不可单独采购</x:v>
      </x:c>
      <x:c r="O32" s="19" t="str">
        <x:v>SiPh晶圆厂</x:v>
      </x:c>
      <x:c r="P32" s="19" t="str">
        <x:v>S21</x:v>
      </x:c>
      <x:c r="Q32" s="19" t="str">
        <x:v>高</x:v>
      </x:c>
      <x:c r="R32" s="19" t="str">
        <x:v>决定硅光调制效率与插损权衡</x:v>
      </x:c>
    </x:row>
    <x:row r="33" ht="15" hidden="0" customHeight="1">
      <x:c r="A33" s="19" t="str">
        <x:v>C029</x:v>
      </x:c>
      <x:c r="B33" s="19" t="str">
        <x:v>微结构</x:v>
      </x:c>
      <x:c r="C33" s="19" t="str">
        <x:v>波导</x:v>
      </x:c>
      <x:c r="D33" s="19" t="str">
        <x:v>无源</x:v>
      </x:c>
      <x:c r="E33" s="19" t="str">
        <x:v>硅波导</x:v>
      </x:c>
      <x:c r="F33" s="19" t="str">
        <x:v>Silicon Waveguide</x:v>
      </x:c>
      <x:c r="G33" s="19" t="str">
        <x:v>C025</x:v>
      </x:c>
      <x:c r="H33" s="19" t="str">
        <x:v>亚微米硅芯波导</x:v>
      </x:c>
      <x:c r="I33" s="19" t="str">
        <x:v>在PIC内传输和路由光</x:v>
      </x:c>
      <x:c r="J33" s="19" t="str">
        <x:v>传播损耗、弯曲半径、偏振</x:v>
      </x:c>
      <x:c r="K33" s="23"/>
      <x:c r="L33" s="23"/>
      <x:c r="M33" s="19" t="str">
        <x:v>内嵌结构</x:v>
      </x:c>
      <x:c r="N33" s="19" t="str">
        <x:v>不可单独采购</x:v>
      </x:c>
      <x:c r="O33" s="19" t="str">
        <x:v>SiPh晶圆厂</x:v>
      </x:c>
      <x:c r="P33" s="19" t="str">
        <x:v>S21</x:v>
      </x:c>
      <x:c r="Q33" s="19" t="str">
        <x:v>高</x:v>
      </x:c>
      <x:c r="R33" s="19" t="str">
        <x:v>侧壁粗糙会形成散射损耗</x:v>
      </x:c>
    </x:row>
    <x:row r="34" ht="15" hidden="0" customHeight="1">
      <x:c r="A34" s="19" t="str">
        <x:v>C030</x:v>
      </x:c>
      <x:c r="B34" s="19" t="str">
        <x:v>光芯片</x:v>
      </x:c>
      <x:c r="C34" s="19" t="str">
        <x:v>探测</x:v>
      </x:c>
      <x:c r="D34" s="19" t="str">
        <x:v>有源</x:v>
      </x:c>
      <x:c r="E34" s="19" t="str">
        <x:v>Ge/Si PIN光电探测器</x:v>
      </x:c>
      <x:c r="F34" s="19" t="str">
        <x:v>Germanium-on-Silicon PIN PD</x:v>
      </x:c>
      <x:c r="G34" s="19" t="str">
        <x:v>C025</x:v>
      </x:c>
      <x:c r="H34" s="19" t="str">
        <x:v>硅上锗吸收区PN/PIN结构</x:v>
      </x:c>
      <x:c r="I34" s="19" t="str">
        <x:v>将1310nm光转换为电流</x:v>
      </x:c>
      <x:c r="J34" s="19" t="str">
        <x:v>响应度、带宽、暗电流、饱和</x:v>
      </x:c>
      <x:c r="K34" s="23"/>
      <x:c r="L34" s="23"/>
      <x:c r="M34" s="19" t="str">
        <x:v>颗/阵列</x:v>
      </x:c>
      <x:c r="N34" s="19" t="str">
        <x:v>RFQ/集成于PIC</x:v>
      </x:c>
      <x:c r="O34" s="19" t="str">
        <x:v>Broadcom、Marvell、Intel、Coherent、SiFotonics等SiPh生态</x:v>
      </x:c>
      <x:c r="P34" s="19" t="str">
        <x:v>S21;S22;S28;S29;S40</x:v>
      </x:c>
      <x:c r="Q34" s="19" t="str">
        <x:v>中</x:v>
      </x:c>
      <x:c r="R34" s="19" t="str">
        <x:v>Ge/Si PD常与PIC集成；分立采购、集成die和模块内功能不可重复计价</x:v>
      </x:c>
    </x:row>
    <x:row r="35" ht="24" hidden="0" customHeight="1">
      <x:c r="A35" s="19" t="str">
        <x:v>C031</x:v>
      </x:c>
      <x:c r="B35" s="19" t="str">
        <x:v>光芯片</x:v>
      </x:c>
      <x:c r="C35" s="19" t="str">
        <x:v>探测</x:v>
      </x:c>
      <x:c r="D35" s="19" t="str">
        <x:v>有源</x:v>
      </x:c>
      <x:c r="E35" s="19" t="str">
        <x:v>InGaAs PIN光电探测器</x:v>
      </x:c>
      <x:c r="F35" s="19" t="str">
        <x:v>InGaAs PIN PD</x:v>
      </x:c>
      <x:c r="G35" s="19" t="str"/>
      <x:c r="H35" s="19" t="str">
        <x:v>III-V吸收层PIN结构</x:v>
      </x:c>
      <x:c r="I35" s="19" t="str">
        <x:v>探测1310/1550nm光</x:v>
      </x:c>
      <x:c r="J35" s="19" t="str">
        <x:v>响应度、带宽、暗电流、过载</x:v>
      </x:c>
      <x:c r="K35" s="23" t="n">
        <x:v>3</x:v>
      </x:c>
      <x:c r="L35" s="23" t="n">
        <x:v>12</x:v>
      </x:c>
      <x:c r="M35" s="19" t="str">
        <x:v>颗/阵列</x:v>
      </x:c>
      <x:c r="N35" s="19" t="str">
        <x:v>800G行业建模区间；具体速率见10_价格区间</x:v>
      </x:c>
      <x:c r="O35" s="19" t="str">
        <x:v>Coherent、Lumentum、Broadcom、Source Photonics、SiFotonics生态</x:v>
      </x:c>
      <x:c r="P35" s="19" t="str">
        <x:v>S22;S32</x:v>
      </x:c>
      <x:c r="Q35" s="19" t="str">
        <x:v>低</x:v>
      </x:c>
      <x:c r="R35" s="19" t="str">
        <x:v>分立PD或阵列形式；价格用于结构学习和BOM情景，不代表特定客户成交价</x:v>
      </x:c>
    </x:row>
    <x:row r="36" ht="24" hidden="0" customHeight="1">
      <x:c r="A36" s="19" t="str">
        <x:v>C032</x:v>
      </x:c>
      <x:c r="B36" s="19" t="str">
        <x:v>光芯片</x:v>
      </x:c>
      <x:c r="C36" s="19" t="str">
        <x:v>探测</x:v>
      </x:c>
      <x:c r="D36" s="19" t="str">
        <x:v>有源</x:v>
      </x:c>
      <x:c r="E36" s="19" t="str">
        <x:v>GaAs PIN阵列</x:v>
      </x:c>
      <x:c r="F36" s="19" t="str">
        <x:v>GaAs PIN Array</x:v>
      </x:c>
      <x:c r="G36" s="19" t="str"/>
      <x:c r="H36" s="19" t="str">
        <x:v>适配850nm的多模PD阵列</x:v>
      </x:c>
      <x:c r="I36" s="19" t="str">
        <x:v>接收VCSEL短距光信号</x:v>
      </x:c>
      <x:c r="J36" s="19" t="str">
        <x:v>响应度、带宽、串扰、暗电流</x:v>
      </x:c>
      <x:c r="K36" s="23" t="n">
        <x:v>12</x:v>
      </x:c>
      <x:c r="L36" s="23" t="n">
        <x:v>35</x:v>
      </x:c>
      <x:c r="M36" s="19" t="str">
        <x:v>阵列</x:v>
      </x:c>
      <x:c r="N36" s="19" t="str">
        <x:v>800G行业建模区间；具体速率见10_价格区间</x:v>
      </x:c>
      <x:c r="O36" s="19" t="str">
        <x:v>Coherent、Broadcom、Lumentum生态</x:v>
      </x:c>
      <x:c r="P36" s="19" t="str">
        <x:v>S30;S32</x:v>
      </x:c>
      <x:c r="Q36" s="19" t="str">
        <x:v>低</x:v>
      </x:c>
      <x:c r="R36" s="19" t="str">
        <x:v>用于SR/VR路线；价格用于结构学习和BOM情景，不代表特定客户成交价</x:v>
      </x:c>
    </x:row>
    <x:row r="37" ht="15" hidden="0" customHeight="1">
      <x:c r="A37" s="19" t="str">
        <x:v>C033</x:v>
      </x:c>
      <x:c r="B37" s="19" t="str">
        <x:v>光芯片</x:v>
      </x:c>
      <x:c r="C37" s="19" t="str">
        <x:v>探测</x:v>
      </x:c>
      <x:c r="D37" s="19" t="str">
        <x:v>有源</x:v>
      </x:c>
      <x:c r="E37" s="19" t="str">
        <x:v>APD</x:v>
      </x:c>
      <x:c r="F37" s="19" t="str">
        <x:v>Avalanche Photodiode</x:v>
      </x:c>
      <x:c r="G37" s="19" t="str"/>
      <x:c r="H37" s="19" t="str">
        <x:v>带倍增区的光电探测器</x:v>
      </x:c>
      <x:c r="I37" s="19" t="str">
        <x:v>利用雪崩增益提高灵敏度</x:v>
      </x:c>
      <x:c r="J37" s="19" t="str">
        <x:v>增益、噪声、击穿电压、温漂</x:v>
      </x:c>
      <x:c r="K37" s="23" t="n">
        <x:v>8</x:v>
      </x:c>
      <x:c r="L37" s="23" t="n">
        <x:v>25</x:v>
      </x:c>
      <x:c r="M37" s="19" t="str">
        <x:v>颗/阵列</x:v>
      </x:c>
      <x:c r="N37" s="19" t="str">
        <x:v>800G行业建模区间；具体速率见10_价格区间</x:v>
      </x:c>
      <x:c r="O37" s="19" t="str">
        <x:v>Lumentum、Coherent、MACOM等</x:v>
      </x:c>
      <x:c r="P37" s="19" t="str">
        <x:v>S22</x:v>
      </x:c>
      <x:c r="Q37" s="19" t="str">
        <x:v>低</x:v>
      </x:c>
      <x:c r="R37" s="19" t="str">
        <x:v>数据中心短距并非所有PMD需要；价格用于结构学习和BOM情景，不代表特定客户成交价</x:v>
      </x:c>
    </x:row>
    <x:row r="38" ht="24" hidden="0" customHeight="1">
      <x:c r="A38" s="19" t="str">
        <x:v>C034</x:v>
      </x:c>
      <x:c r="B38" s="19" t="str">
        <x:v>光路</x:v>
      </x:c>
      <x:c r="C38" s="19" t="str">
        <x:v>波分</x:v>
      </x:c>
      <x:c r="D38" s="19" t="str">
        <x:v>无源</x:v>
      </x:c>
      <x:c r="E38" s="19" t="str">
        <x:v>MUX/DEMUX</x:v>
      </x:c>
      <x:c r="F38" s="19" t="str">
        <x:v>Optical Multiplexer/Demultiplexer</x:v>
      </x:c>
      <x:c r="G38" s="19" t="str"/>
      <x:c r="H38" s="19" t="str">
        <x:v>多通道滤波与合分波组件</x:v>
      </x:c>
      <x:c r="I38" s="19" t="str">
        <x:v>将多个波长合入/拆出单纤</x:v>
      </x:c>
      <x:c r="J38" s="19" t="str">
        <x:v>插损、隔离度、通带、温漂</x:v>
      </x:c>
      <x:c r="K38" s="23" t="n">
        <x:v>10</x:v>
      </x:c>
      <x:c r="L38" s="23" t="n">
        <x:v>35</x:v>
      </x:c>
      <x:c r="M38" s="19" t="str">
        <x:v>套</x:v>
      </x:c>
      <x:c r="N38" s="19" t="str">
        <x:v>800G行业建模区间；具体速率见10_价格区间</x:v>
      </x:c>
      <x:c r="O38" s="19" t="str">
        <x:v>AFR、TFC、光迅科技、天孚通信生态</x:v>
      </x:c>
      <x:c r="P38" s="19" t="str">
        <x:v>S01;S14</x:v>
      </x:c>
      <x:c r="Q38" s="19" t="str">
        <x:v>低</x:v>
      </x:c>
      <x:c r="R38" s="19" t="str">
        <x:v>FR/LR路线必需，DR/SR并行路线通常不需要；价格用于结构学习和BOM情景，不代表特定客户成交价</x:v>
      </x:c>
    </x:row>
    <x:row r="39" ht="15" hidden="0" customHeight="1">
      <x:c r="A39" s="19" t="str">
        <x:v>C035</x:v>
      </x:c>
      <x:c r="B39" s="19" t="str">
        <x:v>微结构</x:v>
      </x:c>
      <x:c r="C39" s="19" t="str">
        <x:v>波分</x:v>
      </x:c>
      <x:c r="D39" s="19" t="str">
        <x:v>无源</x:v>
      </x:c>
      <x:c r="E39" s="19" t="str">
        <x:v>AWG</x:v>
      </x:c>
      <x:c r="F39" s="19" t="str">
        <x:v>Arrayed Waveguide Grating</x:v>
      </x:c>
      <x:c r="G39" s="19" t="str">
        <x:v>C034/C025</x:v>
      </x:c>
      <x:c r="H39" s="19" t="str">
        <x:v>阵列波导与自由传播区</x:v>
      </x:c>
      <x:c r="I39" s="19" t="str">
        <x:v>利用路径差实现波长色散和复用</x:v>
      </x:c>
      <x:c r="J39" s="19" t="str">
        <x:v>通道间隔、插损、串扰、温漂</x:v>
      </x:c>
      <x:c r="K39" s="23"/>
      <x:c r="L39" s="23"/>
      <x:c r="M39" s="19" t="str">
        <x:v>芯片/组件</x:v>
      </x:c>
      <x:c r="N39" s="19" t="str">
        <x:v>RFQ/集成</x:v>
      </x:c>
      <x:c r="O39" s="19" t="str">
        <x:v>PLC/SiPh厂商</x:v>
      </x:c>
      <x:c r="P39" s="19" t="str">
        <x:v>S21</x:v>
      </x:c>
      <x:c r="Q39" s="19" t="str">
        <x:v>高</x:v>
      </x:c>
      <x:c r="R39" s="19" t="str">
        <x:v>可作为MUX/DEMUX实现方式之一</x:v>
      </x:c>
    </x:row>
    <x:row r="40" ht="15" hidden="0" customHeight="1">
      <x:c r="A40" s="19" t="str">
        <x:v>C036</x:v>
      </x:c>
      <x:c r="B40" s="19" t="str">
        <x:v>微结构</x:v>
      </x:c>
      <x:c r="C40" s="19" t="str">
        <x:v>波分</x:v>
      </x:c>
      <x:c r="D40" s="19" t="str">
        <x:v>无源</x:v>
      </x:c>
      <x:c r="E40" s="19" t="str">
        <x:v>薄膜滤光片</x:v>
      </x:c>
      <x:c r="F40" s="19" t="str">
        <x:v>Thin Film Filter</x:v>
      </x:c>
      <x:c r="G40" s="19" t="str">
        <x:v>C034</x:v>
      </x:c>
      <x:c r="H40" s="19" t="str">
        <x:v>多层介质膜片</x:v>
      </x:c>
      <x:c r="I40" s="19" t="str">
        <x:v>按波长反射/透射实现合分波</x:v>
      </x:c>
      <x:c r="J40" s="19" t="str">
        <x:v>中心波长、通带、隔离度、AOI敏感性</x:v>
      </x:c>
      <x:c r="K40" s="23"/>
      <x:c r="L40" s="23"/>
      <x:c r="M40" s="19" t="str">
        <x:v>片/组件</x:v>
      </x:c>
      <x:c r="N40" s="19" t="str">
        <x:v>RFQ</x:v>
      </x:c>
      <x:c r="O40" s="19" t="str">
        <x:v>光学滤波器厂商</x:v>
      </x:c>
      <x:c r="P40" s="19" t="str">
        <x:v>S20</x:v>
      </x:c>
      <x:c r="Q40" s="19" t="str">
        <x:v>中</x:v>
      </x:c>
      <x:c r="R40" s="19" t="str">
        <x:v>自由空间光路中常见</x:v>
      </x:c>
    </x:row>
    <x:row r="41" ht="15" hidden="0" customHeight="1">
      <x:c r="A41" s="19" t="str">
        <x:v>C037</x:v>
      </x:c>
      <x:c r="B41" s="19" t="str">
        <x:v>光路</x:v>
      </x:c>
      <x:c r="C41" s="19" t="str">
        <x:v>耦合</x:v>
      </x:c>
      <x:c r="D41" s="19" t="str">
        <x:v>无源</x:v>
      </x:c>
      <x:c r="E41" s="19" t="str">
        <x:v>透镜阵列</x:v>
      </x:c>
      <x:c r="F41" s="19" t="str">
        <x:v>Lens Array</x:v>
      </x:c>
      <x:c r="G41" s="19" t="str"/>
      <x:c r="H41" s="19" t="str">
        <x:v>微透镜/球透镜阵列</x:v>
      </x:c>
      <x:c r="I41" s="19" t="str">
        <x:v>准直和聚焦芯片到光纤的光</x:v>
      </x:c>
      <x:c r="J41" s="19" t="str">
        <x:v>NA、焦距、偏心、耦合损耗</x:v>
      </x:c>
      <x:c r="K41" s="23" t="n">
        <x:v>5</x:v>
      </x:c>
      <x:c r="L41" s="23" t="n">
        <x:v>20</x:v>
      </x:c>
      <x:c r="M41" s="19" t="str">
        <x:v>件</x:v>
      </x:c>
      <x:c r="N41" s="19" t="str">
        <x:v>800G行业建模区间；具体速率见10_价格区间</x:v>
      </x:c>
      <x:c r="O41" s="19" t="str">
        <x:v>天孚通信、Edmund、FISBA等生态</x:v>
      </x:c>
      <x:c r="P41" s="19" t="str">
        <x:v>S08</x:v>
      </x:c>
      <x:c r="Q41" s="19" t="str">
        <x:v>低</x:v>
      </x:c>
      <x:c r="R41" s="19" t="str">
        <x:v>与光纤阵列及有源对准配合；价格用于结构学习和BOM情景，不代表特定客户成交价</x:v>
      </x:c>
    </x:row>
    <x:row r="42" ht="24" hidden="0" customHeight="1">
      <x:c r="A42" s="19" t="str">
        <x:v>C038</x:v>
      </x:c>
      <x:c r="B42" s="19" t="str">
        <x:v>光路</x:v>
      </x:c>
      <x:c r="C42" s="19" t="str">
        <x:v>耦合</x:v>
      </x:c>
      <x:c r="D42" s="19" t="str">
        <x:v>无源</x:v>
      </x:c>
      <x:c r="E42" s="19" t="str">
        <x:v>光纤阵列</x:v>
      </x:c>
      <x:c r="F42" s="19" t="str">
        <x:v>Fiber Array Unit</x:v>
      </x:c>
      <x:c r="G42" s="19" t="str"/>
      <x:c r="H42" s="19" t="str">
        <x:v>V槽+盖板+多芯光纤</x:v>
      </x:c>
      <x:c r="I42" s="19" t="str">
        <x:v>将多通道光纤精确排列到PIC/激光阵列</x:v>
      </x:c>
      <x:c r="J42" s="19" t="str">
        <x:v>pitch、端面角度、定位精度、插损</x:v>
      </x:c>
      <x:c r="K42" s="23" t="n">
        <x:v>15</x:v>
      </x:c>
      <x:c r="L42" s="23" t="n">
        <x:v>60</x:v>
      </x:c>
      <x:c r="M42" s="19" t="str">
        <x:v>件</x:v>
      </x:c>
      <x:c r="N42" s="19" t="str">
        <x:v>800G行业建模区间；具体速率见10_价格区间</x:v>
      </x:c>
      <x:c r="O42" s="19" t="str">
        <x:v>Corning、O-Net昂纳、Advanced Fiber Resources、天孚通信生态</x:v>
      </x:c>
      <x:c r="P42" s="19" t="str">
        <x:v>S41;S43;S44</x:v>
      </x:c>
      <x:c r="Q42" s="19" t="str">
        <x:v>低</x:v>
      </x:c>
      <x:c r="R42" s="19" t="str">
        <x:v>并行光和硅光耦合的核心无源件；价格用于结构学习和BOM情景，不代表特定客户成交价</x:v>
      </x:c>
    </x:row>
    <x:row r="43" ht="15" hidden="0" customHeight="1">
      <x:c r="A43" s="19" t="str">
        <x:v>C039</x:v>
      </x:c>
      <x:c r="B43" s="19" t="str">
        <x:v>微结构</x:v>
      </x:c>
      <x:c r="C43" s="19" t="str">
        <x:v>耦合</x:v>
      </x:c>
      <x:c r="D43" s="19" t="str">
        <x:v>无源</x:v>
      </x:c>
      <x:c r="E43" s="19" t="str">
        <x:v>光栅耦合器</x:v>
      </x:c>
      <x:c r="F43" s="19" t="str">
        <x:v>Grating Coupler</x:v>
      </x:c>
      <x:c r="G43" s="19" t="str">
        <x:v>C025</x:v>
      </x:c>
      <x:c r="H43" s="19" t="str">
        <x:v>表面周期刻蚀光栅</x:v>
      </x:c>
      <x:c r="I43" s="19" t="str">
        <x:v>将垂直/斜入射光耦入平面波导</x:v>
      </x:c>
      <x:c r="J43" s="19" t="str">
        <x:v>耦合损耗、带宽、偏振、角度</x:v>
      </x:c>
      <x:c r="K43" s="23"/>
      <x:c r="L43" s="23"/>
      <x:c r="M43" s="19" t="str">
        <x:v>内嵌结构</x:v>
      </x:c>
      <x:c r="N43" s="19" t="str">
        <x:v>不可单独采购</x:v>
      </x:c>
      <x:c r="O43" s="19" t="str">
        <x:v>SiPh厂商</x:v>
      </x:c>
      <x:c r="P43" s="19" t="str">
        <x:v>S21</x:v>
      </x:c>
      <x:c r="Q43" s="19" t="str">
        <x:v>高</x:v>
      </x:c>
      <x:c r="R43" s="19" t="str">
        <x:v>测试便利，但带宽与损耗需权衡</x:v>
      </x:c>
    </x:row>
    <x:row r="44" ht="15" hidden="0" customHeight="1">
      <x:c r="A44" s="19" t="str">
        <x:v>C040</x:v>
      </x:c>
      <x:c r="B44" s="19" t="str">
        <x:v>微结构</x:v>
      </x:c>
      <x:c r="C44" s="19" t="str">
        <x:v>耦合</x:v>
      </x:c>
      <x:c r="D44" s="19" t="str">
        <x:v>无源</x:v>
      </x:c>
      <x:c r="E44" s="19" t="str">
        <x:v>边缘耦合器</x:v>
      </x:c>
      <x:c r="F44" s="19" t="str">
        <x:v>Edge Coupler/Spot-size Converter</x:v>
      </x:c>
      <x:c r="G44" s="19" t="str">
        <x:v>C025</x:v>
      </x:c>
      <x:c r="H44" s="19" t="str">
        <x:v>锥形波导与模场转换结构</x:v>
      </x:c>
      <x:c r="I44" s="19" t="str">
        <x:v>从芯片边缘低损耗耦合到光纤</x:v>
      </x:c>
      <x:c r="J44" s="19" t="str">
        <x:v>耦合损耗、带宽、对准容差</x:v>
      </x:c>
      <x:c r="K44" s="23"/>
      <x:c r="L44" s="23"/>
      <x:c r="M44" s="19" t="str">
        <x:v>内嵌结构</x:v>
      </x:c>
      <x:c r="N44" s="19" t="str">
        <x:v>不可单独采购</x:v>
      </x:c>
      <x:c r="O44" s="19" t="str">
        <x:v>SiPh厂商</x:v>
      </x:c>
      <x:c r="P44" s="19" t="str">
        <x:v>S21</x:v>
      </x:c>
      <x:c r="Q44" s="19" t="str">
        <x:v>高</x:v>
      </x:c>
      <x:c r="R44" s="19" t="str">
        <x:v>封装对准难度通常高于光栅耦合</x:v>
      </x:c>
    </x:row>
    <x:row r="45" ht="15" hidden="0" customHeight="1">
      <x:c r="A45" s="19" t="str">
        <x:v>C041</x:v>
      </x:c>
      <x:c r="B45" s="19" t="str">
        <x:v>光路</x:v>
      </x:c>
      <x:c r="C45" s="19" t="str">
        <x:v>无源光学</x:v>
      </x:c>
      <x:c r="D45" s="19" t="str">
        <x:v>无源</x:v>
      </x:c>
      <x:c r="E45" s="19" t="str">
        <x:v>分光器</x:v>
      </x:c>
      <x:c r="F45" s="19" t="str">
        <x:v>Optical Splitter</x:v>
      </x:c>
      <x:c r="G45" s="19" t="str"/>
      <x:c r="H45" s="19" t="str">
        <x:v>PLC/Y-branch/耦合器</x:v>
      </x:c>
      <x:c r="I45" s="19" t="str">
        <x:v>分配外置激光功率或监控光</x:v>
      </x:c>
      <x:c r="J45" s="19" t="str">
        <x:v>分光比、插损、均匀性</x:v>
      </x:c>
      <x:c r="K45" s="23" t="n">
        <x:v>5</x:v>
      </x:c>
      <x:c r="L45" s="23" t="n">
        <x:v>25</x:v>
      </x:c>
      <x:c r="M45" s="19" t="str">
        <x:v>件/集成</x:v>
      </x:c>
      <x:c r="N45" s="19" t="str">
        <x:v>800G行业建模区间；具体速率见10_价格区间</x:v>
      </x:c>
      <x:c r="O45" s="19" t="str">
        <x:v>PLC/PIC厂商</x:v>
      </x:c>
      <x:c r="P45" s="19" t="str">
        <x:v>S14</x:v>
      </x:c>
      <x:c r="Q45" s="19" t="str">
        <x:v>低</x:v>
      </x:c>
      <x:c r="R45" s="19" t="str">
        <x:v>CPO外置激光分发常见；价格用于结构学习和BOM情景，不代表特定客户成交价</x:v>
      </x:c>
    </x:row>
    <x:row r="46" ht="15" hidden="0" customHeight="1">
      <x:c r="A46" s="19" t="str">
        <x:v>C042</x:v>
      </x:c>
      <x:c r="B46" s="19" t="str">
        <x:v>光路</x:v>
      </x:c>
      <x:c r="C46" s="19" t="str">
        <x:v>无源光学</x:v>
      </x:c>
      <x:c r="D46" s="19" t="str">
        <x:v>无源</x:v>
      </x:c>
      <x:c r="E46" s="19" t="str">
        <x:v>光隔离器</x:v>
      </x:c>
      <x:c r="F46" s="19" t="str">
        <x:v>Optical Isolator</x:v>
      </x:c>
      <x:c r="G46" s="19" t="str"/>
      <x:c r="H46" s="19" t="str">
        <x:v>磁光晶体+偏振光学件</x:v>
      </x:c>
      <x:c r="I46" s="19" t="str">
        <x:v>抑制反射光返回激光器</x:v>
      </x:c>
      <x:c r="J46" s="19" t="str">
        <x:v>隔离度、插损、功率、尺寸</x:v>
      </x:c>
      <x:c r="K46" s="23" t="n">
        <x:v>5</x:v>
      </x:c>
      <x:c r="L46" s="23" t="n">
        <x:v>18</x:v>
      </x:c>
      <x:c r="M46" s="19" t="str">
        <x:v>件</x:v>
      </x:c>
      <x:c r="N46" s="19" t="str">
        <x:v>800G行业建模区间；具体速率见10_价格区间</x:v>
      </x:c>
      <x:c r="O46" s="19" t="str">
        <x:v>TDK、Coherent、光器件厂</x:v>
      </x:c>
      <x:c r="P46" s="19" t="str">
        <x:v>S20</x:v>
      </x:c>
      <x:c r="Q46" s="19" t="str">
        <x:v>低</x:v>
      </x:c>
      <x:c r="R46" s="19" t="str">
        <x:v>是否集成取决于激光与回损预算；价格用于结构学习和BOM情景，不代表特定客户成交价</x:v>
      </x:c>
    </x:row>
    <x:row r="47" ht="15" hidden="0" customHeight="1">
      <x:c r="A47" s="19" t="str">
        <x:v>C043</x:v>
      </x:c>
      <x:c r="B47" s="19" t="str">
        <x:v>光路</x:v>
      </x:c>
      <x:c r="C47" s="19" t="str">
        <x:v>监控</x:v>
      </x:c>
      <x:c r="D47" s="19" t="str">
        <x:v>有源</x:v>
      </x:c>
      <x:c r="E47" s="19" t="str">
        <x:v>监控PD/波长锁定</x:v>
      </x:c>
      <x:c r="F47" s="19" t="str">
        <x:v>Monitor PD/Wavelength Locker</x:v>
      </x:c>
      <x:c r="G47" s="19" t="str"/>
      <x:c r="H47" s="19" t="str">
        <x:v>抽光+PD+滤波/控制</x:v>
      </x:c>
      <x:c r="I47" s="19" t="str">
        <x:v>监测输出功率和波长漂移</x:v>
      </x:c>
      <x:c r="J47" s="19" t="str">
        <x:v>精度、响应、温漂</x:v>
      </x:c>
      <x:c r="K47" s="23" t="n">
        <x:v>2</x:v>
      </x:c>
      <x:c r="L47" s="23" t="n">
        <x:v>10</x:v>
      </x:c>
      <x:c r="M47" s="19" t="str">
        <x:v>套</x:v>
      </x:c>
      <x:c r="N47" s="19" t="str">
        <x:v>800G行业建模区间；具体速率见10_价格区间</x:v>
      </x:c>
      <x:c r="O47" s="19" t="str">
        <x:v>激光器厂商、模块厂</x:v>
      </x:c>
      <x:c r="P47" s="19" t="str">
        <x:v>S20</x:v>
      </x:c>
      <x:c r="Q47" s="19" t="str">
        <x:v>低</x:v>
      </x:c>
      <x:c r="R47" s="19" t="str">
        <x:v>长距或WDM对波长稳定要求更高；价格用于结构学习和BOM情景，不代表特定客户成交价</x:v>
      </x:c>
    </x:row>
    <x:row r="48" ht="36" hidden="0" customHeight="1">
      <x:c r="A48" s="19" t="str">
        <x:v>C044</x:v>
      </x:c>
      <x:c r="B48" s="19" t="str">
        <x:v>连接</x:v>
      </x:c>
      <x:c r="C48" s="19" t="str">
        <x:v>多芯连接器</x:v>
      </x:c>
      <x:c r="D48" s="19" t="str">
        <x:v>无源</x:v>
      </x:c>
      <x:c r="E48" s="19" t="str">
        <x:v>MPO/MTP插座</x:v>
      </x:c>
      <x:c r="F48" s="19" t="str">
        <x:v>MPO/MTP Receptacle</x:v>
      </x:c>
      <x:c r="G48" s="19" t="str"/>
      <x:c r="H48" s="19" t="str">
        <x:v>矩形多芯光纤接口</x:v>
      </x:c>
      <x:c r="I48" s="19" t="str">
        <x:v>连接并行多芯光纤</x:v>
      </x:c>
      <x:c r="J48" s="19" t="str">
        <x:v>芯数、插损、回损、寿命、极性</x:v>
      </x:c>
      <x:c r="K48" s="23" t="n">
        <x:v>16.51</x:v>
      </x:c>
      <x:c r="L48" s="23" t="n">
        <x:v>43.75</x:v>
      </x:c>
      <x:c r="M48" s="19" t="str">
        <x:v>件</x:v>
      </x:c>
      <x:c r="N48" s="19" t="str">
        <x:v>公开分销目录价（代表性MPO/MTP适配器，非模块BOM成交价）</x:v>
      </x:c>
      <x:c r="O48" s="19" t="str">
        <x:v>US Conec、Senko、Molex、Amphenol、Corning</x:v>
      </x:c>
      <x:c r="P48" s="19" t="str">
        <x:v>S34;S35;S36</x:v>
      </x:c>
      <x:c r="Q48" s="19" t="str">
        <x:v>高</x:v>
      </x:c>
      <x:c r="R48" s="19" t="str">
        <x:v>Molex公开适配器1至500件阶梯价约$16.51-$43.75；模块内紧凑插座通常RFQ</x:v>
      </x:c>
    </x:row>
    <x:row r="49" ht="15" hidden="0" customHeight="1">
      <x:c r="A49" s="19" t="str">
        <x:v>C045</x:v>
      </x:c>
      <x:c r="B49" s="19" t="str">
        <x:v>连接</x:v>
      </x:c>
      <x:c r="C49" s="19" t="str">
        <x:v>多芯连接器</x:v>
      </x:c>
      <x:c r="D49" s="19" t="str">
        <x:v>无源</x:v>
      </x:c>
      <x:c r="E49" s="19" t="str">
        <x:v>MT插芯</x:v>
      </x:c>
      <x:c r="F49" s="19" t="str">
        <x:v>MT Ferrule</x:v>
      </x:c>
      <x:c r="G49" s="19" t="str">
        <x:v>C044</x:v>
      </x:c>
      <x:c r="H49" s="19" t="str">
        <x:v>高精度多孔PPS/热固材料插芯</x:v>
      </x:c>
      <x:c r="I49" s="19" t="str">
        <x:v>固定和对准多根光纤</x:v>
      </x:c>
      <x:c r="J49" s="19" t="str">
        <x:v>孔位公差、端面、材料稳定性</x:v>
      </x:c>
      <x:c r="K49" s="23" t="n">
        <x:v>8</x:v>
      </x:c>
      <x:c r="L49" s="23" t="n">
        <x:v>25</x:v>
      </x:c>
      <x:c r="M49" s="19" t="str">
        <x:v>件</x:v>
      </x:c>
      <x:c r="N49" s="19" t="str">
        <x:v>800G行业建模区间；具体速率见10_价格区间</x:v>
      </x:c>
      <x:c r="O49" s="19" t="str">
        <x:v>US Conec、Senko、Sumitomo Electric生态</x:v>
      </x:c>
      <x:c r="P49" s="19" t="str">
        <x:v>S35</x:v>
      </x:c>
      <x:c r="Q49" s="19" t="str">
        <x:v>低</x:v>
      </x:c>
      <x:c r="R49" s="19" t="str">
        <x:v>导针决定配准精度；价格用于结构学习和BOM情景，不代表特定客户成交价</x:v>
      </x:c>
    </x:row>
    <x:row r="50" ht="15" hidden="0" customHeight="1">
      <x:c r="A50" s="19" t="str">
        <x:v>C046</x:v>
      </x:c>
      <x:c r="B50" s="19" t="str">
        <x:v>连接</x:v>
      </x:c>
      <x:c r="C50" s="19" t="str">
        <x:v>多芯连接器</x:v>
      </x:c>
      <x:c r="D50" s="19" t="str">
        <x:v>无源</x:v>
      </x:c>
      <x:c r="E50" s="19" t="str">
        <x:v>导针与弹簧</x:v>
      </x:c>
      <x:c r="F50" s="19" t="str">
        <x:v>Guide Pins and Spring</x:v>
      </x:c>
      <x:c r="G50" s="19" t="str">
        <x:v>C044</x:v>
      </x:c>
      <x:c r="H50" s="19" t="str">
        <x:v>两根金属导针与压紧弹簧</x:v>
      </x:c>
      <x:c r="I50" s="19" t="str">
        <x:v>保证两侧MT插芯精密配准</x:v>
      </x:c>
      <x:c r="J50" s="19" t="str">
        <x:v>直径公差、保持力、耐久</x:v>
      </x:c>
      <x:c r="K50" s="23" t="n">
        <x:v>1</x:v>
      </x:c>
      <x:c r="L50" s="23" t="n">
        <x:v>6</x:v>
      </x:c>
      <x:c r="M50" s="19" t="str">
        <x:v>套</x:v>
      </x:c>
      <x:c r="N50" s="19" t="str">
        <x:v>800G行业建模区间；具体速率见10_价格区间</x:v>
      </x:c>
      <x:c r="O50" s="19" t="str">
        <x:v>MPO连接器生态</x:v>
      </x:c>
      <x:c r="P50" s="19" t="str">
        <x:v>S23</x:v>
      </x:c>
      <x:c r="Q50" s="19" t="str">
        <x:v>低</x:v>
      </x:c>
      <x:c r="R50" s="19" t="str">
        <x:v>微小机械误差会直接影响插损；价格用于结构学习和BOM情景，不代表特定客户成交价</x:v>
      </x:c>
    </x:row>
    <x:row r="51" ht="24" hidden="0" customHeight="1">
      <x:c r="A51" s="19" t="str">
        <x:v>C047</x:v>
      </x:c>
      <x:c r="B51" s="19" t="str">
        <x:v>连接</x:v>
      </x:c>
      <x:c r="C51" s="19" t="str">
        <x:v>双芯连接器</x:v>
      </x:c>
      <x:c r="D51" s="19" t="str">
        <x:v>无源</x:v>
      </x:c>
      <x:c r="E51" s="19" t="str">
        <x:v>LC/Dual LC</x:v>
      </x:c>
      <x:c r="F51" s="19" t="str">
        <x:v>LC Connector</x:v>
      </x:c>
      <x:c r="G51" s="19" t="str"/>
      <x:c r="H51" s="19" t="str">
        <x:v>1.25mm陶瓷插芯小型连接器</x:v>
      </x:c>
      <x:c r="I51" s="19" t="str">
        <x:v>连接单纤或双纤WDM模块</x:v>
      </x:c>
      <x:c r="J51" s="19" t="str">
        <x:v>插损、回损、寿命</x:v>
      </x:c>
      <x:c r="K51" s="23" t="n">
        <x:v>4</x:v>
      </x:c>
      <x:c r="L51" s="23" t="n">
        <x:v>20</x:v>
      </x:c>
      <x:c r="M51" s="19" t="str">
        <x:v>套</x:v>
      </x:c>
      <x:c r="N51" s="19" t="str">
        <x:v>800G行业建模区间；具体速率见10_价格区间</x:v>
      </x:c>
      <x:c r="O51" s="19" t="str">
        <x:v>Senko、Molex、Amphenol、Corning</x:v>
      </x:c>
      <x:c r="P51" s="19" t="str">
        <x:v>S34;S36</x:v>
      </x:c>
      <x:c r="Q51" s="19" t="str">
        <x:v>低</x:v>
      </x:c>
      <x:c r="R51" s="19" t="str">
        <x:v>FR4/LR4常见；价格用于结构学习和BOM情景，不代表特定客户成交价</x:v>
      </x:c>
    </x:row>
    <x:row r="52" ht="15" hidden="0" customHeight="1">
      <x:c r="A52" s="19" t="str">
        <x:v>C048</x:v>
      </x:c>
      <x:c r="B52" s="19" t="str">
        <x:v>连接</x:v>
      </x:c>
      <x:c r="C52" s="19" t="str">
        <x:v>高密度连接</x:v>
      </x:c>
      <x:c r="D52" s="19" t="str">
        <x:v>无源</x:v>
      </x:c>
      <x:c r="E52" s="19" t="str">
        <x:v>SN/MDC/CS连接器</x:v>
      </x:c>
      <x:c r="F52" s="19" t="str">
        <x:v>VSFF Connectors</x:v>
      </x:c>
      <x:c r="G52" s="19" t="str"/>
      <x:c r="H52" s="19" t="str">
        <x:v>双芯超小型连接器</x:v>
      </x:c>
      <x:c r="I52" s="19" t="str">
        <x:v>提高面板光纤端口密度</x:v>
      </x:c>
      <x:c r="J52" s="19" t="str">
        <x:v>插损、回损、极性、密度</x:v>
      </x:c>
      <x:c r="K52" s="23" t="n">
        <x:v>15</x:v>
      </x:c>
      <x:c r="L52" s="23" t="n">
        <x:v>50</x:v>
      </x:c>
      <x:c r="M52" s="19" t="str">
        <x:v>套</x:v>
      </x:c>
      <x:c r="N52" s="19" t="str">
        <x:v>800G行业建模区间；具体速率见10_价格区间</x:v>
      </x:c>
      <x:c r="O52" s="19" t="str">
        <x:v>Senko、US Conec、Corning</x:v>
      </x:c>
      <x:c r="P52" s="19" t="str">
        <x:v>S34;S35</x:v>
      </x:c>
      <x:c r="Q52" s="19" t="str">
        <x:v>低</x:v>
      </x:c>
      <x:c r="R52" s="19" t="str">
        <x:v>CPO面板接口可选路线，OIF 3.2T标准未强制指定；价格用于结构学习和BOM情景，不代表特定客户成交价</x:v>
      </x:c>
    </x:row>
    <x:row r="53" ht="15" hidden="0" customHeight="1">
      <x:c r="A53" s="19" t="str">
        <x:v>C049</x:v>
      </x:c>
      <x:c r="B53" s="19" t="str">
        <x:v>光纤</x:v>
      </x:c>
      <x:c r="C53" s="19" t="str">
        <x:v>传输</x:v>
      </x:c>
      <x:c r="D53" s="19" t="str">
        <x:v>无源</x:v>
      </x:c>
      <x:c r="E53" s="19" t="str">
        <x:v>单模光纤</x:v>
      </x:c>
      <x:c r="F53" s="19" t="str">
        <x:v>Single-mode Fiber</x:v>
      </x:c>
      <x:c r="G53" s="19" t="str"/>
      <x:c r="H53" s="19" t="str">
        <x:v>约9µm芯径玻璃光纤</x:v>
      </x:c>
      <x:c r="I53" s="19" t="str">
        <x:v>传输1310/1550nm单模光</x:v>
      </x:c>
      <x:c r="J53" s="19" t="str">
        <x:v>衰减、色散、弯曲损耗</x:v>
      </x:c>
      <x:c r="K53" s="23" t="n">
        <x:v>0.2</x:v>
      </x:c>
      <x:c r="L53" s="23" t="n">
        <x:v>2</x:v>
      </x:c>
      <x:c r="M53" s="19" t="str">
        <x:v>米</x:v>
      </x:c>
      <x:c r="N53" s="19" t="str">
        <x:v>800G行业建模区间；具体速率见10_价格区间</x:v>
      </x:c>
      <x:c r="O53" s="19" t="str">
        <x:v>Corning、YOFC、Furukawa</x:v>
      </x:c>
      <x:c r="P53" s="19" t="str">
        <x:v>S23</x:v>
      </x:c>
      <x:c r="Q53" s="19" t="str">
        <x:v>低</x:v>
      </x:c>
      <x:c r="R53" s="19" t="str">
        <x:v>DR/FR/LR主要介质；价格用于结构学习和BOM情景，不代表特定客户成交价</x:v>
      </x:c>
    </x:row>
    <x:row r="54" ht="15" hidden="0" customHeight="1">
      <x:c r="A54" s="19" t="str">
        <x:v>C050</x:v>
      </x:c>
      <x:c r="B54" s="19" t="str">
        <x:v>光纤</x:v>
      </x:c>
      <x:c r="C54" s="19" t="str">
        <x:v>传输</x:v>
      </x:c>
      <x:c r="D54" s="19" t="str">
        <x:v>无源</x:v>
      </x:c>
      <x:c r="E54" s="19" t="str">
        <x:v>多模光纤</x:v>
      </x:c>
      <x:c r="F54" s="19" t="str">
        <x:v>Multimode Fiber</x:v>
      </x:c>
      <x:c r="G54" s="19" t="str"/>
      <x:c r="H54" s="19" t="str">
        <x:v>50µm芯径OM3/OM4光纤</x:v>
      </x:c>
      <x:c r="I54" s="19" t="str">
        <x:v>传输850nm短距多模光</x:v>
      </x:c>
      <x:c r="J54" s="19" t="str">
        <x:v>带宽距离积、衰减、模式噪声</x:v>
      </x:c>
      <x:c r="K54" s="23" t="n">
        <x:v>0.5</x:v>
      </x:c>
      <x:c r="L54" s="23" t="n">
        <x:v>3</x:v>
      </x:c>
      <x:c r="M54" s="19" t="str">
        <x:v>米</x:v>
      </x:c>
      <x:c r="N54" s="19" t="str">
        <x:v>800G行业建模区间；具体速率见10_价格区间</x:v>
      </x:c>
      <x:c r="O54" s="19" t="str">
        <x:v>Corning、YOFC、Prysmian</x:v>
      </x:c>
      <x:c r="P54" s="19" t="str">
        <x:v>S23</x:v>
      </x:c>
      <x:c r="Q54" s="19" t="str">
        <x:v>低</x:v>
      </x:c>
      <x:c r="R54" s="19" t="str">
        <x:v>SR/VR主要介质；价格用于结构学习和BOM情景，不代表特定客户成交价</x:v>
      </x:c>
    </x:row>
    <x:row r="55" ht="15" hidden="0" customHeight="1">
      <x:c r="A55" s="19" t="str">
        <x:v>C051</x:v>
      </x:c>
      <x:c r="B55" s="19" t="str">
        <x:v>光纤</x:v>
      </x:c>
      <x:c r="C55" s="19" t="str">
        <x:v>激光分配</x:v>
      </x:c>
      <x:c r="D55" s="19" t="str">
        <x:v>无源</x:v>
      </x:c>
      <x:c r="E55" s="19" t="str">
        <x:v>保偏光纤</x:v>
      </x:c>
      <x:c r="F55" s="19" t="str">
        <x:v>Polarization-maintaining Fiber</x:v>
      </x:c>
      <x:c r="G55" s="19" t="str"/>
      <x:c r="H55" s="19" t="str">
        <x:v>应力双折射结构光纤</x:v>
      </x:c>
      <x:c r="I55" s="19" t="str">
        <x:v>保持外置激光偏振态</x:v>
      </x:c>
      <x:c r="J55" s="19" t="str">
        <x:v>PER、衰减、拍长、连接损耗</x:v>
      </x:c>
      <x:c r="K55" s="23" t="n">
        <x:v>5</x:v>
      </x:c>
      <x:c r="L55" s="23" t="n">
        <x:v>20</x:v>
      </x:c>
      <x:c r="M55" s="19" t="str">
        <x:v>米</x:v>
      </x:c>
      <x:c r="N55" s="19" t="str">
        <x:v>800G行业建模区间；具体速率见10_价格区间</x:v>
      </x:c>
      <x:c r="O55" s="19" t="str">
        <x:v>Coherent、Fujikura、YOFC生态</x:v>
      </x:c>
      <x:c r="P55" s="19" t="str">
        <x:v>S14</x:v>
      </x:c>
      <x:c r="Q55" s="19" t="str">
        <x:v>低</x:v>
      </x:c>
      <x:c r="R55" s="19" t="str">
        <x:v>CPO外置激光路线可能需要；价格用于结构学习和BOM情景，不代表特定客户成交价</x:v>
      </x:c>
    </x:row>
    <x:row r="56" ht="15" hidden="0" customHeight="1">
      <x:c r="A56" s="19" t="str">
        <x:v>C052</x:v>
      </x:c>
      <x:c r="B56" s="19" t="str">
        <x:v>热管理</x:v>
      </x:c>
      <x:c r="C56" s="19" t="str">
        <x:v>温控</x:v>
      </x:c>
      <x:c r="D56" s="19" t="str">
        <x:v>有源</x:v>
      </x:c>
      <x:c r="E56" s="19" t="str">
        <x:v>TEC</x:v>
      </x:c>
      <x:c r="F56" s="19" t="str">
        <x:v>Thermoelectric Cooler</x:v>
      </x:c>
      <x:c r="G56" s="19" t="str"/>
      <x:c r="H56" s="19" t="str">
        <x:v>半导体Peltier结构</x:v>
      </x:c>
      <x:c r="I56" s="19" t="str">
        <x:v>稳定激光/PIC温度</x:v>
      </x:c>
      <x:c r="J56" s="19" t="str">
        <x:v>ΔT、COP、功耗、尺寸</x:v>
      </x:c>
      <x:c r="K56" s="23" t="n">
        <x:v>8</x:v>
      </x:c>
      <x:c r="L56" s="23" t="n">
        <x:v>30</x:v>
      </x:c>
      <x:c r="M56" s="19" t="str">
        <x:v>件</x:v>
      </x:c>
      <x:c r="N56" s="19" t="str">
        <x:v>800G行业建模区间；具体速率见10_价格区间</x:v>
      </x:c>
      <x:c r="O56" s="19" t="str">
        <x:v>Laird、Ferrotec、Phononic</x:v>
      </x:c>
      <x:c r="P56" s="19" t="str">
        <x:v>S20</x:v>
      </x:c>
      <x:c r="Q56" s="19" t="str">
        <x:v>低</x:v>
      </x:c>
      <x:c r="R56" s="19" t="str">
        <x:v>高速数据中心模块通常谨慎使用以控制功耗；价格用于结构学习和BOM情景，不代表特定客户成交价</x:v>
      </x:c>
    </x:row>
    <x:row r="57" ht="15" hidden="0" customHeight="1">
      <x:c r="A57" s="19" t="str">
        <x:v>C053</x:v>
      </x:c>
      <x:c r="B57" s="19" t="str">
        <x:v>热管理</x:v>
      </x:c>
      <x:c r="C57" s="19" t="str">
        <x:v>导热</x:v>
      </x:c>
      <x:c r="D57" s="19" t="str">
        <x:v>无源</x:v>
      </x:c>
      <x:c r="E57" s="19" t="str">
        <x:v>导热垫/热界面材料</x:v>
      </x:c>
      <x:c r="F57" s="19" t="str">
        <x:v>Thermal Interface Material</x:v>
      </x:c>
      <x:c r="G57" s="19" t="str"/>
      <x:c r="H57" s="19" t="str">
        <x:v>柔性导热片或相变材料</x:v>
      </x:c>
      <x:c r="I57" s="19" t="str">
        <x:v>降低芯片到外壳接触热阻</x:v>
      </x:c>
      <x:c r="J57" s="19" t="str">
        <x:v>导热率、厚度、压缩率、泵出</x:v>
      </x:c>
      <x:c r="K57" s="23" t="n">
        <x:v>0.5</x:v>
      </x:c>
      <x:c r="L57" s="23" t="n">
        <x:v>3</x:v>
      </x:c>
      <x:c r="M57" s="19" t="str">
        <x:v>片</x:v>
      </x:c>
      <x:c r="N57" s="19" t="str">
        <x:v>800G行业建模区间；具体速率见10_价格区间</x:v>
      </x:c>
      <x:c r="O57" s="19" t="str">
        <x:v>Henkel、Laird、Parker</x:v>
      </x:c>
      <x:c r="P57" s="19" t="str">
        <x:v>S08</x:v>
      </x:c>
      <x:c r="Q57" s="19" t="str">
        <x:v>低</x:v>
      </x:c>
      <x:c r="R57" s="19" t="str">
        <x:v>长期可靠性影响结温；价格用于结构学习和BOM情景，不代表特定客户成交价</x:v>
      </x:c>
    </x:row>
    <x:row r="58" ht="15" hidden="0" customHeight="1">
      <x:c r="A58" s="19" t="str">
        <x:v>C054</x:v>
      </x:c>
      <x:c r="B58" s="19" t="str">
        <x:v>封装</x:v>
      </x:c>
      <x:c r="C58" s="19" t="str">
        <x:v>装联</x:v>
      </x:c>
      <x:c r="D58" s="19" t="str">
        <x:v>无源</x:v>
      </x:c>
      <x:c r="E58" s="19" t="str">
        <x:v>光学胶/底部填充</x:v>
      </x:c>
      <x:c r="F58" s="19" t="str">
        <x:v>Optical Epoxy/Underfill</x:v>
      </x:c>
      <x:c r="G58" s="19" t="str"/>
      <x:c r="H58" s="19" t="str">
        <x:v>低收缩胶粘剂</x:v>
      </x:c>
      <x:c r="I58" s="19" t="str">
        <x:v>固定光学件、保护焊点并缓释应力</x:v>
      </x:c>
      <x:c r="J58" s="19" t="str">
        <x:v>收缩率、CTE、吸湿、透光率</x:v>
      </x:c>
      <x:c r="K58" s="23" t="n">
        <x:v>0.2</x:v>
      </x:c>
      <x:c r="L58" s="23" t="n">
        <x:v>2</x:v>
      </x:c>
      <x:c r="M58" s="19" t="str">
        <x:v>用量</x:v>
      </x:c>
      <x:c r="N58" s="19" t="str">
        <x:v>800G行业建模区间；具体速率见10_价格区间</x:v>
      </x:c>
      <x:c r="O58" s="19" t="str">
        <x:v>Henkel、Dymax、NAMICS</x:v>
      </x:c>
      <x:c r="P58" s="19" t="str">
        <x:v>S14</x:v>
      </x:c>
      <x:c r="Q58" s="19" t="str">
        <x:v>低</x:v>
      </x:c>
      <x:c r="R58" s="19" t="str">
        <x:v>材料选择影响耦合漂移和可靠性；价格用于结构学习和BOM情景，不代表特定客户成交价</x:v>
      </x:c>
    </x:row>
    <x:row r="59" ht="15" hidden="0" customHeight="1">
      <x:c r="A59" s="19" t="str">
        <x:v>C055</x:v>
      </x:c>
      <x:c r="B59" s="19" t="str">
        <x:v>封装</x:v>
      </x:c>
      <x:c r="C59" s="19" t="str">
        <x:v>先进互连</x:v>
      </x:c>
      <x:c r="D59" s="19" t="str">
        <x:v>混合</x:v>
      </x:c>
      <x:c r="E59" s="19" t="str">
        <x:v>光子线键合</x:v>
      </x:c>
      <x:c r="F59" s="19" t="str">
        <x:v>Photonic Wire Bond</x:v>
      </x:c>
      <x:c r="G59" s="19" t="str"/>
      <x:c r="H59" s="19" t="str">
        <x:v>三维聚合物波导互连</x:v>
      </x:c>
      <x:c r="I59" s="19" t="str">
        <x:v>连接不同PIC或激光芯片</x:v>
      </x:c>
      <x:c r="J59" s="19" t="str">
        <x:v>插损、对准容差、可靠性</x:v>
      </x:c>
      <x:c r="K59" s="23" t="n">
        <x:v>10</x:v>
      </x:c>
      <x:c r="L59" s="23" t="n">
        <x:v>40</x:v>
      </x:c>
      <x:c r="M59" s="19" t="str">
        <x:v>互连</x:v>
      </x:c>
      <x:c r="N59" s="19" t="str">
        <x:v>800G行业建模区间；具体速率见10_价格区间</x:v>
      </x:c>
      <x:c r="O59" s="19" t="str">
        <x:v>Vanguard/科研及封装生态</x:v>
      </x:c>
      <x:c r="P59" s="19" t="str">
        <x:v>S21</x:v>
      </x:c>
      <x:c r="Q59" s="19" t="str">
        <x:v>低</x:v>
      </x:c>
      <x:c r="R59" s="19" t="str">
        <x:v>仍需按具体量产平台验证；价格用于结构学习和BOM情景，不代表特定客户成交价</x:v>
      </x:c>
    </x:row>
    <x:row r="60" ht="24" hidden="0" customHeight="1">
      <x:c r="A60" s="19" t="str">
        <x:v>C056</x:v>
      </x:c>
      <x:c r="B60" s="19" t="str">
        <x:v>模块</x:v>
      </x:c>
      <x:c r="C60" s="19" t="str">
        <x:v>高速电连接</x:v>
      </x:c>
      <x:c r="D60" s="19" t="str">
        <x:v>无源</x:v>
      </x:c>
      <x:c r="E60" s="19" t="str">
        <x:v>主机侧金手指/电连接器</x:v>
      </x:c>
      <x:c r="F60" s="19" t="str">
        <x:v>Host Card-edge Interface</x:v>
      </x:c>
      <x:c r="G60" s="19" t="str">
        <x:v>C005</x:v>
      </x:c>
      <x:c r="H60" s="19" t="str">
        <x:v>PCB边缘镀金接点</x:v>
      </x:c>
      <x:c r="I60" s="19" t="str">
        <x:v>连接交换机SerDes、电源与低速管理</x:v>
      </x:c>
      <x:c r="J60" s="19" t="str">
        <x:v>接触电阻、阻抗、插损、耐久</x:v>
      </x:c>
      <x:c r="K60" s="23"/>
      <x:c r="L60" s="23"/>
      <x:c r="M60" s="19" t="str">
        <x:v>组</x:v>
      </x:c>
      <x:c r="N60" s="19" t="str">
        <x:v>随PCB/金手指制造报价，不单独采购</x:v>
      </x:c>
      <x:c r="O60" s="19" t="str">
        <x:v>模块PCB制造与QSFP-DD/OSFP生态</x:v>
      </x:c>
      <x:c r="P60" s="19" t="str">
        <x:v>S15;S25</x:v>
      </x:c>
      <x:c r="Q60" s="19" t="str">
        <x:v>高</x:v>
      </x:c>
      <x:c r="R60" s="19" t="str">
        <x:v>这是PCB边缘镀金接点，不应显示为独立器件单价；成本随PCB表面处理和良率报价</x:v>
      </x:c>
    </x:row>
    <x:row r="61" ht="24" hidden="0" customHeight="1">
      <x:c r="A61" s="19" t="str">
        <x:v>C057</x:v>
      </x:c>
      <x:c r="B61" s="19" t="str">
        <x:v>系统</x:v>
      </x:c>
      <x:c r="C61" s="19" t="str">
        <x:v>机械/EMI</x:v>
      </x:c>
      <x:c r="D61" s="19" t="str">
        <x:v>无源</x:v>
      </x:c>
      <x:c r="E61" s="19" t="str">
        <x:v>笼子与面板连接器</x:v>
      </x:c>
      <x:c r="F61" s="19" t="str">
        <x:v>Cage and Host Connector</x:v>
      </x:c>
      <x:c r="G61" s="19" t="str"/>
      <x:c r="H61" s="19" t="str">
        <x:v>金属cage、压配连接器和光导管</x:v>
      </x:c>
      <x:c r="I61" s="19" t="str">
        <x:v>固定模块、提供主机侧电连接与EMI屏蔽</x:v>
      </x:c>
      <x:c r="J61" s="19" t="str">
        <x:v>端口密度、压配可靠性、散热、EMI</x:v>
      </x:c>
      <x:c r="K61" s="23" t="n">
        <x:v>20</x:v>
      </x:c>
      <x:c r="L61" s="23" t="n">
        <x:v>60</x:v>
      </x:c>
      <x:c r="M61" s="19" t="str">
        <x:v>端口</x:v>
      </x:c>
      <x:c r="N61" s="19" t="str">
        <x:v>800G行业建模区间；具体速率见10_价格区间</x:v>
      </x:c>
      <x:c r="O61" s="19" t="str">
        <x:v>TE、Amphenol、Molex、Foxconn</x:v>
      </x:c>
      <x:c r="P61" s="19" t="str">
        <x:v>S15;S25</x:v>
      </x:c>
      <x:c r="Q61" s="19" t="str">
        <x:v>低</x:v>
      </x:c>
      <x:c r="R61" s="19" t="str">
        <x:v>不属于模块内BOM，但决定插拔和风道；价格用于结构学习和BOM情景，不代表特定客户成交价</x:v>
      </x:c>
    </x:row>
    <x:row r="62" ht="24" hidden="0" customHeight="1">
      <x:c r="A62" s="19" t="str">
        <x:v>C058</x:v>
      </x:c>
      <x:c r="B62" s="19" t="str">
        <x:v>板级</x:v>
      </x:c>
      <x:c r="C62" s="19" t="str">
        <x:v>时钟</x:v>
      </x:c>
      <x:c r="D62" s="19" t="str">
        <x:v>有源</x:v>
      </x:c>
      <x:c r="E62" s="19" t="str">
        <x:v>参考时钟/振荡器</x:v>
      </x:c>
      <x:c r="F62" s="19" t="str">
        <x:v>Reference Clock/Oscillator</x:v>
      </x:c>
      <x:c r="G62" s="19" t="str"/>
      <x:c r="H62" s="19" t="str">
        <x:v>晶振、时钟缓冲或外部REFCLK输入</x:v>
      </x:c>
      <x:c r="I62" s="19" t="str">
        <x:v>为DSP/CDR提供低抖动参考</x:v>
      </x:c>
      <x:c r="J62" s="19" t="str">
        <x:v>频率、相噪、抖动、温漂</x:v>
      </x:c>
      <x:c r="K62" s="23" t="n">
        <x:v>3</x:v>
      </x:c>
      <x:c r="L62" s="23" t="n">
        <x:v>12</x:v>
      </x:c>
      <x:c r="M62" s="19" t="str">
        <x:v>颗/接口</x:v>
      </x:c>
      <x:c r="N62" s="19" t="str">
        <x:v>800G行业建模区间；具体速率见10_价格区间</x:v>
      </x:c>
      <x:c r="O62" s="19" t="str">
        <x:v>SiTime、Renesas、TI、系统时钟生态</x:v>
      </x:c>
      <x:c r="P62" s="19" t="str">
        <x:v>S14;S18</x:v>
      </x:c>
      <x:c r="Q62" s="19" t="str">
        <x:v>低</x:v>
      </x:c>
      <x:c r="R62" s="19" t="str">
        <x:v>部分模块使用主机参考时钟而非独立晶振；价格用于结构学习和BOM情景，不代表特定客户成交价</x:v>
      </x:c>
    </x:row>
    <x:row r="63" ht="15" hidden="0" customHeight="1">
      <x:c r="A63" s="19" t="str">
        <x:v>C059</x:v>
      </x:c>
      <x:c r="B63" s="19" t="str">
        <x:v>板级</x:v>
      </x:c>
      <x:c r="C63" s="19" t="str">
        <x:v>传感</x:v>
      </x:c>
      <x:c r="D63" s="19" t="str">
        <x:v>有源</x:v>
      </x:c>
      <x:c r="E63" s="19" t="str">
        <x:v>温度传感器</x:v>
      </x:c>
      <x:c r="F63" s="19" t="str">
        <x:v>Temperature Sensor</x:v>
      </x:c>
      <x:c r="G63" s="19" t="str"/>
      <x:c r="H63" s="19" t="str">
        <x:v>片上或分立温度传感器</x:v>
      </x:c>
      <x:c r="I63" s="19" t="str">
        <x:v>支持CMIS温度监控和热保护</x:v>
      </x:c>
      <x:c r="J63" s="19" t="str">
        <x:v>精度、响应时间、布点、校准</x:v>
      </x:c>
      <x:c r="K63" s="23" t="n">
        <x:v>0.5</x:v>
      </x:c>
      <x:c r="L63" s="23" t="n">
        <x:v>4</x:v>
      </x:c>
      <x:c r="M63" s="19" t="str">
        <x:v>颗/功能</x:v>
      </x:c>
      <x:c r="N63" s="19" t="str">
        <x:v>800G行业建模区间；具体速率见10_价格区间</x:v>
      </x:c>
      <x:c r="O63" s="19" t="str">
        <x:v>TI、ADI、NXP、集成于MCU/PMIC</x:v>
      </x:c>
      <x:c r="P63" s="19" t="str">
        <x:v>S14;S17</x:v>
      </x:c>
      <x:c r="Q63" s="19" t="str">
        <x:v>低</x:v>
      </x:c>
      <x:c r="R63" s="19" t="str">
        <x:v>读数位置不一定等于激光结温；价格用于结构学习和BOM情景，不代表特定客户成交价</x:v>
      </x:c>
    </x:row>
    <x:row r="64" ht="24" hidden="0" customHeight="1">
      <x:c r="A64" s="19" t="str">
        <x:v>C060</x:v>
      </x:c>
      <x:c r="B64" s="19" t="str">
        <x:v>板级</x:v>
      </x:c>
      <x:c r="C64" s="19" t="str">
        <x:v>基础无源</x:v>
      </x:c>
      <x:c r="D64" s="19" t="str">
        <x:v>无源</x:v>
      </x:c>
      <x:c r="E64" s="19" t="str">
        <x:v>电阻/电容/电感网络</x:v>
      </x:c>
      <x:c r="F64" s="19" t="str">
        <x:v>R/C/L Passives</x:v>
      </x:c>
      <x:c r="G64" s="19" t="str"/>
      <x:c r="H64" s="19" t="str">
        <x:v>0402/0201及更小尺寸片式器件</x:v>
      </x:c>
      <x:c r="I64" s="19" t="str">
        <x:v>去耦、偏置、滤波、端接和电源稳定</x:v>
      </x:c>
      <x:c r="J64" s="19" t="str">
        <x:v>容差、ESR/ESL、额定电流、温漂</x:v>
      </x:c>
      <x:c r="K64" s="23" t="n">
        <x:v>3</x:v>
      </x:c>
      <x:c r="L64" s="23" t="n">
        <x:v>12</x:v>
      </x:c>
      <x:c r="M64" s="19" t="str">
        <x:v>组</x:v>
      </x:c>
      <x:c r="N64" s="19" t="str">
        <x:v>800G行业建模区间；具体速率见10_价格区间</x:v>
      </x:c>
      <x:c r="O64" s="19" t="str">
        <x:v>Murata、TDK、Yageo、Taiyo Yuden</x:v>
      </x:c>
      <x:c r="P64" s="19" t="str">
        <x:v>S08;S14</x:v>
      </x:c>
      <x:c r="Q64" s="19" t="str">
        <x:v>低</x:v>
      </x:c>
      <x:c r="R64" s="19" t="str">
        <x:v>数量多但单颗价值低，布局影响高速和电源完整性；价格用于结构学习和BOM情景，不代表特定客户成交价</x:v>
      </x:c>
    </x:row>
    <x:row r="65" ht="15" hidden="0" customHeight="1">
      <x:c r="A65" s="19" t="str">
        <x:v>C061</x:v>
      </x:c>
      <x:c r="B65" s="19" t="str">
        <x:v>封装</x:v>
      </x:c>
      <x:c r="C65" s="19" t="str">
        <x:v>光芯片承载</x:v>
      </x:c>
      <x:c r="D65" s="19" t="str">
        <x:v>无源</x:v>
      </x:c>
      <x:c r="E65" s="19" t="str">
        <x:v>激光器/PD Submount</x:v>
      </x:c>
      <x:c r="F65" s="19" t="str">
        <x:v>Optical Die Submount</x:v>
      </x:c>
      <x:c r="G65" s="19" t="str"/>
      <x:c r="H65" s="19" t="str">
        <x:v>AlN、陶瓷或硅小基板</x:v>
      </x:c>
      <x:c r="I65" s="19" t="str">
        <x:v>提供热扩散、机械基准和电互连</x:v>
      </x:c>
      <x:c r="J65" s="19" t="str">
        <x:v>导热率、CTE、平整度、镀层</x:v>
      </x:c>
      <x:c r="K65" s="23" t="n">
        <x:v>3</x:v>
      </x:c>
      <x:c r="L65" s="23" t="n">
        <x:v>15</x:v>
      </x:c>
      <x:c r="M65" s="19" t="str">
        <x:v>件/阵列</x:v>
      </x:c>
      <x:c r="N65" s="19" t="str">
        <x:v>800G行业建模区间；具体速率见10_价格区间</x:v>
      </x:c>
      <x:c r="O65" s="19" t="str">
        <x:v>Kyocera、NGK、封装厂生态</x:v>
      </x:c>
      <x:c r="P65" s="19" t="str">
        <x:v>S14;S20</x:v>
      </x:c>
      <x:c r="Q65" s="19" t="str">
        <x:v>低</x:v>
      </x:c>
      <x:c r="R65" s="19" t="str">
        <x:v>EML/VCSEL/PD阵列常见，具体形态依封装；价格用于结构学习和BOM情景，不代表特定客户成交价</x:v>
      </x:c>
    </x:row>
    <x:row r="66" ht="15" hidden="0" customHeight="1">
      <x:c r="A66" s="19" t="str">
        <x:v>C062</x:v>
      </x:c>
      <x:c r="B66" s="19" t="str">
        <x:v>封装</x:v>
      </x:c>
      <x:c r="C66" s="19" t="str">
        <x:v>电互连</x:v>
      </x:c>
      <x:c r="D66" s="19" t="str">
        <x:v>无源</x:v>
      </x:c>
      <x:c r="E66" s="19" t="str">
        <x:v>微凸点/焊球</x:v>
      </x:c>
      <x:c r="F66" s="19" t="str">
        <x:v>Micro-bumps/Solder Bumps</x:v>
      </x:c>
      <x:c r="G66" s="19" t="str"/>
      <x:c r="H66" s="19" t="str">
        <x:v>锡基或铜柱微互连</x:v>
      </x:c>
      <x:c r="I66" s="19" t="str">
        <x:v>实现flip-chip高密度电连接</x:v>
      </x:c>
      <x:c r="J66" s="19" t="str">
        <x:v>pitch、空洞率、疲劳寿命、寄生</x:v>
      </x:c>
      <x:c r="K66" s="23" t="n">
        <x:v>2</x:v>
      </x:c>
      <x:c r="L66" s="23" t="n">
        <x:v>12</x:v>
      </x:c>
      <x:c r="M66" s="19" t="str">
        <x:v>阵列</x:v>
      </x:c>
      <x:c r="N66" s="19" t="str">
        <x:v>800G行业建模区间；具体速率见10_价格区间</x:v>
      </x:c>
      <x:c r="O66" s="19" t="str">
        <x:v>OSAT与基板生态</x:v>
      </x:c>
      <x:c r="P66" s="19" t="str">
        <x:v>S14</x:v>
      </x:c>
      <x:c r="Q66" s="19" t="str">
        <x:v>低</x:v>
      </x:c>
      <x:c r="R66" s="19" t="str">
        <x:v>数量不按功能lane简单等同；价格用于结构学习和BOM情景，不代表特定客户成交价</x:v>
      </x:c>
    </x:row>
    <x:row r="67" ht="24" hidden="0" customHeight="1">
      <x:c r="A67" s="19" t="str">
        <x:v>C063</x:v>
      </x:c>
      <x:c r="B67" s="19" t="str">
        <x:v>封装</x:v>
      </x:c>
      <x:c r="C67" s="19" t="str">
        <x:v>电互连</x:v>
      </x:c>
      <x:c r="D67" s="19" t="str">
        <x:v>无源</x:v>
      </x:c>
      <x:c r="E67" s="19" t="str">
        <x:v>金线/铜线/Ribbon Bond</x:v>
      </x:c>
      <x:c r="F67" s="19" t="str">
        <x:v>Wire/Ribbon Bonds</x:v>
      </x:c>
      <x:c r="G67" s="19" t="str"/>
      <x:c r="H67" s="19" t="str">
        <x:v>键合线或宽带金属带</x:v>
      </x:c>
      <x:c r="I67" s="19" t="str">
        <x:v>连接裸片到基板并传输电流/高速信号</x:v>
      </x:c>
      <x:c r="J67" s="19" t="str">
        <x:v>环高、寄生电感、拉力、带宽</x:v>
      </x:c>
      <x:c r="K67" s="23" t="n">
        <x:v>1</x:v>
      </x:c>
      <x:c r="L67" s="23" t="n">
        <x:v>8</x:v>
      </x:c>
      <x:c r="M67" s="19" t="str">
        <x:v>组</x:v>
      </x:c>
      <x:c r="N67" s="19" t="str">
        <x:v>800G行业建模区间；具体速率见10_价格区间</x:v>
      </x:c>
      <x:c r="O67" s="19" t="str">
        <x:v>OSAT、Heraeus、Tanaka材料生态</x:v>
      </x:c>
      <x:c r="P67" s="19" t="str">
        <x:v>S14</x:v>
      </x:c>
      <x:c r="Q67" s="19" t="str">
        <x:v>低</x:v>
      </x:c>
      <x:c r="R67" s="19" t="str">
        <x:v>高速路径可能改用flip-chip以降低寄生；价格用于结构学习和BOM情景，不代表特定客户成交价</x:v>
      </x:c>
    </x:row>
    <x:row r="68" ht="24" hidden="0" customHeight="1">
      <x:c r="A68" s="19" t="str">
        <x:v>C064</x:v>
      </x:c>
      <x:c r="B68" s="19" t="str">
        <x:v>微结构</x:v>
      </x:c>
      <x:c r="C68" s="19" t="str">
        <x:v>偏振管理</x:v>
      </x:c>
      <x:c r="D68" s="19" t="str">
        <x:v>无源</x:v>
      </x:c>
      <x:c r="E68" s="19" t="str">
        <x:v>偏振分束旋转器</x:v>
      </x:c>
      <x:c r="F68" s="19" t="str">
        <x:v>Polarization Splitter-Rotator</x:v>
      </x:c>
      <x:c r="G68" s="19" t="str">
        <x:v>C025</x:v>
      </x:c>
      <x:c r="H68" s="19" t="str">
        <x:v>不对称波导与模式转换结构</x:v>
      </x:c>
      <x:c r="I68" s="19" t="str">
        <x:v>将入射偏振转换/分离为PIC可处理模式</x:v>
      </x:c>
      <x:c r="J68" s="19" t="str">
        <x:v>消光比、插损、带宽、工艺容差</x:v>
      </x:c>
      <x:c r="K68" s="23"/>
      <x:c r="L68" s="23"/>
      <x:c r="M68" s="19" t="str">
        <x:v>内嵌结构</x:v>
      </x:c>
      <x:c r="N68" s="19" t="str">
        <x:v>不可单独采购</x:v>
      </x:c>
      <x:c r="O68" s="19" t="str">
        <x:v>SiPh晶圆厂</x:v>
      </x:c>
      <x:c r="P68" s="19" t="str">
        <x:v>S21</x:v>
      </x:c>
      <x:c r="Q68" s="19" t="str">
        <x:v>中</x:v>
      </x:c>
      <x:c r="R68" s="19" t="str">
        <x:v>是否需要取决于光纤耦合和系统偏振设计</x:v>
      </x:c>
    </x:row>
    <x:row r="69" ht="24" hidden="0" customHeight="1">
      <x:c r="A69" s="19" t="str">
        <x:v>C065</x:v>
      </x:c>
      <x:c r="B69" s="19" t="str">
        <x:v>微结构</x:v>
      </x:c>
      <x:c r="C69" s="19" t="str">
        <x:v>监控</x:v>
      </x:c>
      <x:c r="D69" s="19" t="str">
        <x:v>无源</x:v>
      </x:c>
      <x:c r="E69" s="19" t="str">
        <x:v>抽头耦合器</x:v>
      </x:c>
      <x:c r="F69" s="19" t="str">
        <x:v>Monitor Tap Coupler</x:v>
      </x:c>
      <x:c r="G69" s="19" t="str">
        <x:v>C025</x:v>
      </x:c>
      <x:c r="H69" s="19" t="str">
        <x:v>定向耦合器或Y-branch</x:v>
      </x:c>
      <x:c r="I69" s="19" t="str">
        <x:v>抽取少量光用于功率监控和闭环控制</x:v>
      </x:c>
      <x:c r="J69" s="19" t="str">
        <x:v>tap ratio、插损、均匀性</x:v>
      </x:c>
      <x:c r="K69" s="23"/>
      <x:c r="L69" s="23"/>
      <x:c r="M69" s="19" t="str">
        <x:v>内嵌结构</x:v>
      </x:c>
      <x:c r="N69" s="19" t="str">
        <x:v>不可单独采购</x:v>
      </x:c>
      <x:c r="O69" s="19" t="str">
        <x:v>SiPh/PLC厂商</x:v>
      </x:c>
      <x:c r="P69" s="19" t="str">
        <x:v>S21</x:v>
      </x:c>
      <x:c r="Q69" s="19" t="str">
        <x:v>高</x:v>
      </x:c>
      <x:c r="R69" s="19" t="str">
        <x:v>通常与监控PD共同使用</x:v>
      </x:c>
    </x:row>
    <x:row r="70" ht="15" hidden="0" customHeight="1">
      <x:c r="A70" s="19" t="str">
        <x:v>C066</x:v>
      </x:c>
      <x:c r="B70" s="19" t="str">
        <x:v>微结构</x:v>
      </x:c>
      <x:c r="C70" s="19" t="str">
        <x:v>调谐</x:v>
      </x:c>
      <x:c r="D70" s="19" t="str">
        <x:v>有源</x:v>
      </x:c>
      <x:c r="E70" s="19" t="str">
        <x:v>微加热器/热调谐器</x:v>
      </x:c>
      <x:c r="F70" s="19" t="str">
        <x:v>Microheater/Thermal Tuner</x:v>
      </x:c>
      <x:c r="G70" s="19" t="str">
        <x:v>C025/C027/C035</x:v>
      </x:c>
      <x:c r="H70" s="19" t="str">
        <x:v>金属电阻加热条</x:v>
      </x:c>
      <x:c r="I70" s="19" t="str">
        <x:v>补偿微环、AWG或滤波器波长漂移</x:v>
      </x:c>
      <x:c r="J70" s="19" t="str">
        <x:v>调谐效率、响应时间、功耗、热串扰</x:v>
      </x:c>
      <x:c r="K70" s="23"/>
      <x:c r="L70" s="23"/>
      <x:c r="M70" s="19" t="str">
        <x:v>内嵌结构</x:v>
      </x:c>
      <x:c r="N70" s="19" t="str">
        <x:v>不可单独采购</x:v>
      </x:c>
      <x:c r="O70" s="19" t="str">
        <x:v>SiPh/PLC厂商</x:v>
      </x:c>
      <x:c r="P70" s="19" t="str">
        <x:v>S21</x:v>
      </x:c>
      <x:c r="Q70" s="19" t="str">
        <x:v>高</x:v>
      </x:c>
      <x:c r="R70" s="19" t="str">
        <x:v>微环路线的热控制成本和功耗需单列</x:v>
      </x:c>
    </x:row>
    <x:row r="71" ht="24" hidden="0" customHeight="1">
      <x:c r="A71" s="19" t="str">
        <x:v>C067</x:v>
      </x:c>
      <x:c r="B71" s="19" t="str">
        <x:v>微结构</x:v>
      </x:c>
      <x:c r="C71" s="19" t="str">
        <x:v>EML</x:v>
      </x:c>
      <x:c r="D71" s="19" t="str">
        <x:v>有源</x:v>
      </x:c>
      <x:c r="E71" s="19" t="str">
        <x:v>电吸收调制器</x:v>
      </x:c>
      <x:c r="F71" s="19" t="str">
        <x:v>Electro-absorption Modulator</x:v>
      </x:c>
      <x:c r="G71" s="19" t="str">
        <x:v>C021</x:v>
      </x:c>
      <x:c r="H71" s="19" t="str">
        <x:v>DFB激光器后级III-V吸收区</x:v>
      </x:c>
      <x:c r="I71" s="19" t="str">
        <x:v>利用Franz-Keldysh或QCSE效应调制光强</x:v>
      </x:c>
      <x:c r="J71" s="19" t="str">
        <x:v>ER、插损、带宽、chirp、驱动摆幅</x:v>
      </x:c>
      <x:c r="K71" s="23"/>
      <x:c r="L71" s="23"/>
      <x:c r="M71" s="19" t="str">
        <x:v>内嵌结构</x:v>
      </x:c>
      <x:c r="N71" s="19" t="str">
        <x:v>不可单独采购</x:v>
      </x:c>
      <x:c r="O71" s="19" t="str">
        <x:v>EML晶圆厂</x:v>
      </x:c>
      <x:c r="P71" s="19" t="str">
        <x:v>S20</x:v>
      </x:c>
      <x:c r="Q71" s="19" t="str">
        <x:v>高</x:v>
      </x:c>
      <x:c r="R71" s="19" t="str">
        <x:v>EML中的EAM不是独立模块采购件</x:v>
      </x:c>
    </x:row>
    <x:row r="72" ht="15" hidden="0" customHeight="1">
      <x:c r="A72" s="19" t="str">
        <x:v>C068</x:v>
      </x:c>
      <x:c r="B72" s="19" t="str">
        <x:v>微结构</x:v>
      </x:c>
      <x:c r="C72" s="19" t="str">
        <x:v>增益区</x:v>
      </x:c>
      <x:c r="D72" s="19" t="str">
        <x:v>有源</x:v>
      </x:c>
      <x:c r="E72" s="19" t="str">
        <x:v>量子阱有源区</x:v>
      </x:c>
      <x:c r="F72" s="19" t="str">
        <x:v>Quantum-well Active Region</x:v>
      </x:c>
      <x:c r="G72" s="19" t="str">
        <x:v>C016/C020/C021/C023</x:v>
      </x:c>
      <x:c r="H72" s="19" t="str">
        <x:v>III-V多量子阱外延层</x:v>
      </x:c>
      <x:c r="I72" s="19" t="str">
        <x:v>提供受激辐射增益或电吸收效应</x:v>
      </x:c>
      <x:c r="J72" s="19" t="str">
        <x:v>材料组分、阱宽、增益谱、温度特性</x:v>
      </x:c>
      <x:c r="K72" s="23"/>
      <x:c r="L72" s="23"/>
      <x:c r="M72" s="19" t="str">
        <x:v>内嵌结构</x:v>
      </x:c>
      <x:c r="N72" s="19" t="str">
        <x:v>不可单独采购</x:v>
      </x:c>
      <x:c r="O72" s="19" t="str">
        <x:v>III-V外延与激光器厂</x:v>
      </x:c>
      <x:c r="P72" s="19" t="str">
        <x:v>S19;S20</x:v>
      </x:c>
      <x:c r="Q72" s="19" t="str">
        <x:v>高</x:v>
      </x:c>
      <x:c r="R72" s="19" t="str">
        <x:v>决定波长、效率、温漂与高速性能</x:v>
      </x:c>
    </x:row>
    <x:row r="73" ht="24" hidden="0" customHeight="1">
      <x:c r="A73" s="19" t="str">
        <x:v>C069</x:v>
      </x:c>
      <x:c r="B73" s="19" t="str">
        <x:v>微结构</x:v>
      </x:c>
      <x:c r="C73" s="19" t="str">
        <x:v>激光器</x:v>
      </x:c>
      <x:c r="D73" s="19" t="str">
        <x:v>无源</x:v>
      </x:c>
      <x:c r="E73" s="19" t="str">
        <x:v>端面增透/高反膜</x:v>
      </x:c>
      <x:c r="F73" s="19" t="str">
        <x:v>Facet AR/HR Coating</x:v>
      </x:c>
      <x:c r="G73" s="19" t="str">
        <x:v>C020/C021/C023</x:v>
      </x:c>
      <x:c r="H73" s="19" t="str">
        <x:v>激光器端面介质膜</x:v>
      </x:c>
      <x:c r="I73" s="19" t="str">
        <x:v>控制反射率、输出耦合与回返光敏感性</x:v>
      </x:c>
      <x:c r="J73" s="19" t="str">
        <x:v>反射率、损伤阈值、膜应力、可靠性</x:v>
      </x:c>
      <x:c r="K73" s="23"/>
      <x:c r="L73" s="23"/>
      <x:c r="M73" s="19" t="str">
        <x:v>内嵌工艺</x:v>
      </x:c>
      <x:c r="N73" s="19" t="str">
        <x:v>不可单独采购</x:v>
      </x:c>
      <x:c r="O73" s="19" t="str">
        <x:v>激光器与镀膜厂</x:v>
      </x:c>
      <x:c r="P73" s="19" t="str">
        <x:v>S20</x:v>
      </x:c>
      <x:c r="Q73" s="19" t="str">
        <x:v>中</x:v>
      </x:c>
      <x:c r="R73" s="19" t="str">
        <x:v>DFB/EML封装可靠性的关键工艺之一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b4c28b64f6a143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" hidden="0" customWidth="1"/>
    <x:col min="3" max="3" width="9.329999923706055" hidden="0" customWidth="1"/>
    <x:col min="4" max="4" width="12.4399995803833" hidden="0" customWidth="1"/>
    <x:col min="5" max="5" width="11.890000343322754" hidden="0" customWidth="1"/>
    <x:col min="6" max="6" width="8.109999656677246" hidden="0" customWidth="1"/>
    <x:col min="7" max="7" width="8.109999656677246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 ht="21.600000381469727" hidden="0" customHeight="1">
      <x:c r="A1" s="4" t="str">
        <x:v>价格模型</x:v>
      </x:c>
      <x:c r="B1" s="4" t="str">
        <x:v>价格模型</x:v>
      </x:c>
      <x:c r="C1" s="4" t="str">
        <x:v>价格模型</x:v>
      </x:c>
      <x:c r="D1" s="4" t="str">
        <x:v>价格模型</x:v>
      </x:c>
      <x:c r="E1" s="4" t="str">
        <x:v>价格模型</x:v>
      </x:c>
      <x:c r="F1" s="4" t="str">
        <x:v>价格模型</x:v>
      </x:c>
      <x:c r="G1" s="4" t="str">
        <x:v>价格模型</x:v>
      </x:c>
      <x:c r="H1" s="4" t="str">
        <x:v>价格模型</x:v>
      </x:c>
      <x:c r="I1" s="4" t="str">
        <x:v>价格模型</x:v>
      </x:c>
      <x:c r="J1" s="4" t="str">
        <x:v>价格模型</x:v>
      </x:c>
      <x:c r="K1" s="4" t="str">
        <x:v>价格模型</x:v>
      </x:c>
      <x:c r="L1" s="4" t="str">
        <x:v>价格模型</x:v>
      </x:c>
    </x:row>
    <x:row r="2" ht="15" hidden="0" customHeight="1">
      <x:c r="A2" s="7" t="str">
        <x:v>区间公式只对公开ASP点位做情景扩展；LPO/LRO/CPO和裸器件无公开可比报价时保持空白，不用retimed价格硬套</x:v>
      </x:c>
      <x:c r="B2" s="7" t="str">
        <x:v>区间公式只对公开ASP点位做情景扩展；LPO/LRO/CPO和裸器件无公开可比报价时保持空白，不用retimed价格硬套</x:v>
      </x:c>
      <x:c r="C2" s="7" t="str">
        <x:v>区间公式只对公开ASP点位做情景扩展；LPO/LRO/CPO和裸器件无公开可比报价时保持空白，不用retimed价格硬套</x:v>
      </x:c>
      <x:c r="D2" s="7" t="str">
        <x:v>区间公式只对公开ASP点位做情景扩展；LPO/LRO/CPO和裸器件无公开可比报价时保持空白，不用retimed价格硬套</x:v>
      </x:c>
      <x:c r="E2" s="7" t="str">
        <x:v>区间公式只对公开ASP点位做情景扩展；LPO/LRO/CPO和裸器件无公开可比报价时保持空白，不用retimed价格硬套</x:v>
      </x:c>
      <x:c r="F2" s="7" t="str">
        <x:v>区间公式只对公开ASP点位做情景扩展；LPO/LRO/CPO和裸器件无公开可比报价时保持空白，不用retimed价格硬套</x:v>
      </x:c>
      <x:c r="G2" s="7" t="str">
        <x:v>区间公式只对公开ASP点位做情景扩展；LPO/LRO/CPO和裸器件无公开可比报价时保持空白，不用retimed价格硬套</x:v>
      </x:c>
      <x:c r="H2" s="7" t="str">
        <x:v>区间公式只对公开ASP点位做情景扩展；LPO/LRO/CPO和裸器件无公开可比报价时保持空白，不用retimed价格硬套</x:v>
      </x:c>
      <x:c r="I2" s="7" t="str">
        <x:v>区间公式只对公开ASP点位做情景扩展；LPO/LRO/CPO和裸器件无公开可比报价时保持空白，不用retimed价格硬套</x:v>
      </x:c>
      <x:c r="J2" s="7" t="str">
        <x:v>区间公式只对公开ASP点位做情景扩展；LPO/LRO/CPO和裸器件无公开可比报价时保持空白，不用retimed价格硬套</x:v>
      </x:c>
      <x:c r="K2" s="7" t="str">
        <x:v>区间公式只对公开ASP点位做情景扩展；LPO/LRO/CPO和裸器件无公开可比报价时保持空白，不用retimed价格硬套</x:v>
      </x:c>
      <x:c r="L2" s="7" t="str">
        <x:v>区间公式只对公开ASP点位做情景扩展；LPO/LRO/CPO和裸器件无公开可比报价时保持空白，不用retimed价格硬套</x:v>
      </x:c>
    </x:row>
    <x:row r="3" ht="15" hidden="0" customHeight="1">
      <x:c r="A3" s="21" t="str">
        <x:v>← 返回‘00_型号选择器’工作表</x:v>
      </x:c>
    </x:row>
    <x:row r="4" ht="15" hidden="0" customHeight="1">
      <x:c r="A4" s="13" t="str">
        <x:v>可调参数</x:v>
      </x:c>
      <x:c r="B4" s="13" t="str">
        <x:v>输入</x:v>
      </x:c>
    </x:row>
    <x:row r="5" ht="15" hidden="0" customHeight="1">
      <x:c r="A5" s="17" t="str">
        <x:v>ASP低端倍数</x:v>
      </x:c>
      <x:c r="B5" s="26" t="n">
        <x:v>0.85</x:v>
      </x:c>
    </x:row>
    <x:row r="6" ht="15" hidden="0" customHeight="1">
      <x:c r="A6" s="17" t="str">
        <x:v>ASP高端倍数</x:v>
      </x:c>
      <x:c r="B6" s="26" t="n">
        <x:v>1.15</x:v>
      </x:c>
    </x:row>
    <x:row r="7" ht="15" hidden="0" customHeight="1">
      <x:c r="A7" s="17" t="str">
        <x:v>默认币种</x:v>
      </x:c>
      <x:c r="B7" s="25" t="str">
        <x:v>USD</x:v>
      </x:c>
    </x:row>
    <x:row r="8"/>
    <x:row r="9" ht="15" hidden="0" customHeight="1">
      <x:c r="A9" s="13" t="str">
        <x:v>Variant_ID</x:v>
      </x:c>
      <x:c r="B9" s="13" t="str">
        <x:v>总速率</x:v>
      </x:c>
      <x:c r="C9" s="13" t="str">
        <x:v>PMD/Reach</x:v>
      </x:c>
      <x:c r="D9" s="13" t="str">
        <x:v>电架构</x:v>
      </x:c>
      <x:c r="E9" s="13" t="str">
        <x:v>2026E ASP点位($)</x:v>
      </x:c>
      <x:c r="F9" s="13" t="str">
        <x:v>模型低端($)</x:v>
      </x:c>
      <x:c r="G9" s="13" t="str">
        <x:v>模型高端($)</x:v>
      </x:c>
      <x:c r="H9" s="13" t="str">
        <x:v>价格来源/代理</x:v>
      </x:c>
      <x:c r="I9" s="13" t="str">
        <x:v>价格适用性</x:v>
      </x:c>
      <x:c r="J9" s="13" t="str">
        <x:v>置信度</x:v>
      </x:c>
      <x:c r="K9" s="13" t="str">
        <x:v>Source_ID</x:v>
      </x:c>
      <x:c r="L9" s="13" t="str">
        <x:v>备注</x:v>
      </x:c>
    </x:row>
    <x:row r="10" ht="24" hidden="0" customHeight="1">
      <x:c r="A10" s="19" t="str">
        <x:v>400-QDD-LR4-8E4O-EML</x:v>
      </x:c>
      <x:c r="B10" s="19" t="str">
        <x:v>400G</x:v>
      </x:c>
      <x:c r="C10" s="19" t="str">
        <x:v>LR4/10km</x:v>
      </x:c>
      <x:c r="D10" s="19" t="str">
        <x:v>Retimed</x:v>
      </x:c>
      <x:c r="E10" s="20" t="n">
        <x:v>460</x:v>
      </x:c>
      <x:c r="F10" s="27" t="n">
        <x:f>IF(E10="","",E10*$B$5)</x:f>
        <x:v>391</x:v>
      </x:c>
      <x:c r="G10" s="27" t="n">
        <x:f>IF(E10="","",E10*$B$6)</x:f>
        <x:v>529</x:v>
      </x:c>
      <x:c r="H10" s="19" t="str">
        <x:v>LightCounting同类ASP</x:v>
      </x:c>
      <x:c r="I10" s="19" t="str">
        <x:v>LightCounting同类ASP</x:v>
      </x:c>
      <x:c r="J10" s="19" t="str">
        <x:v>中</x:v>
      </x:c>
      <x:c r="K10" s="19" t="str">
        <x:v>S01;S16</x:v>
      </x:c>
      <x:c r="L10" s="19" t="str">
        <x:v>8条50G主机侧电通道汇聚为4条100G波长通道</x:v>
      </x:c>
    </x:row>
    <x:row r="11" ht="36" hidden="0" customHeight="1">
      <x:c r="A11" s="19" t="str">
        <x:v>400-QDD-FR4-8E4O-EML</x:v>
      </x:c>
      <x:c r="B11" s="19" t="str">
        <x:v>400G</x:v>
      </x:c>
      <x:c r="C11" s="19" t="str">
        <x:v>FR4/2km</x:v>
      </x:c>
      <x:c r="D11" s="19" t="str">
        <x:v>Retimed</x:v>
      </x:c>
      <x:c r="E11" s="20" t="n">
        <x:v>210</x:v>
      </x:c>
      <x:c r="F11" s="27" t="n">
        <x:f>IF(E11="","",E11*$B$5)</x:f>
        <x:v>178.5</x:v>
      </x:c>
      <x:c r="G11" s="27" t="n">
        <x:f>IF(E11="","",E11*$B$6)</x:f>
        <x:v>241.49999999999997</x:v>
      </x:c>
      <x:c r="H11" s="19" t="str">
        <x:v>LightCounting同类ASP</x:v>
      </x:c>
      <x:c r="I11" s="19" t="str">
        <x:v>LightCounting同类ASP</x:v>
      </x:c>
      <x:c r="J11" s="19" t="str">
        <x:v>中</x:v>
      </x:c>
      <x:c r="K11" s="19" t="str">
        <x:v>S01;S16</x:v>
      </x:c>
      <x:c r="L11" s="19" t="str">
        <x:v>CWDM MUX/DEMUX与双工LC是FR4的关键差异</x:v>
      </x:c>
    </x:row>
    <x:row r="12" ht="24" hidden="0" customHeight="1">
      <x:c r="A12" s="19" t="str">
        <x:v>400-QDD-DR4-8E4O-EML</x:v>
      </x:c>
      <x:c r="B12" s="19" t="str">
        <x:v>400G</x:v>
      </x:c>
      <x:c r="C12" s="19" t="str">
        <x:v>DR4/500m</x:v>
      </x:c>
      <x:c r="D12" s="19" t="str">
        <x:v>Retimed</x:v>
      </x:c>
      <x:c r="E12" s="20" t="n">
        <x:v>165</x:v>
      </x:c>
      <x:c r="F12" s="27" t="n">
        <x:f>IF(E12="","",E12*$B$5)</x:f>
        <x:v>140.25</x:v>
      </x:c>
      <x:c r="G12" s="27" t="n">
        <x:f>IF(E12="","",E12*$B$6)</x:f>
        <x:v>189.74999999999997</x:v>
      </x:c>
      <x:c r="H12" s="19" t="str">
        <x:v>LightCounting同类ASP</x:v>
      </x:c>
      <x:c r="I12" s="19" t="str">
        <x:v>LightCounting同类ASP</x:v>
      </x:c>
      <x:c r="J12" s="19" t="str">
        <x:v>中</x:v>
      </x:c>
      <x:c r="K12" s="19" t="str">
        <x:v>S01;S16</x:v>
      </x:c>
      <x:c r="L12" s="19" t="str">
        <x:v>并行单模，每个光通道独占一对光纤</x:v>
      </x:c>
    </x:row>
    <x:row r="13" ht="15" hidden="0" customHeight="1">
      <x:c r="A13" s="19" t="str">
        <x:v>400-QDD-SR42-8E8O-VCSEL</x:v>
      </x:c>
      <x:c r="B13" s="19" t="str">
        <x:v>400G</x:v>
      </x:c>
      <x:c r="C13" s="19" t="str">
        <x:v>SR4.2/100m</x:v>
      </x:c>
      <x:c r="D13" s="19" t="str">
        <x:v>Retimed</x:v>
      </x:c>
      <x:c r="E13" s="20" t="n">
        <x:v>80</x:v>
      </x:c>
      <x:c r="F13" s="27" t="n">
        <x:f>IF(E13="","",E13*$B$5)</x:f>
        <x:v>68</x:v>
      </x:c>
      <x:c r="G13" s="27" t="n">
        <x:f>IF(E13="","",E13*$B$6)</x:f>
        <x:v>92</x:v>
      </x:c>
      <x:c r="H13" s="19" t="str">
        <x:v>以400G SR8 ASP为近似代理</x:v>
      </x:c>
      <x:c r="I13" s="19" t="str">
        <x:v>以400G SR8 ASP为近似代理</x:v>
      </x:c>
      <x:c r="J13" s="19" t="str">
        <x:v>低</x:v>
      </x:c>
      <x:c r="K13" s="19" t="str">
        <x:v>S01;S16</x:v>
      </x:c>
      <x:c r="L13" s="19" t="str">
        <x:v>价格代理</x:v>
      </x:c>
    </x:row>
    <x:row r="14" ht="24" hidden="0" customHeight="1">
      <x:c r="A14" s="19" t="str">
        <x:v>400-QDD-SR8-8E8O-VCSEL</x:v>
      </x:c>
      <x:c r="B14" s="19" t="str">
        <x:v>400G</x:v>
      </x:c>
      <x:c r="C14" s="19" t="str">
        <x:v>SR8/100m</x:v>
      </x:c>
      <x:c r="D14" s="19" t="str">
        <x:v>Retimed</x:v>
      </x:c>
      <x:c r="E14" s="20" t="n">
        <x:v>80</x:v>
      </x:c>
      <x:c r="F14" s="27" t="n">
        <x:f>IF(E14="","",E14*$B$5)</x:f>
        <x:v>68</x:v>
      </x:c>
      <x:c r="G14" s="27" t="n">
        <x:f>IF(E14="","",E14*$B$6)</x:f>
        <x:v>92</x:v>
      </x:c>
      <x:c r="H14" s="19" t="str">
        <x:v>LightCounting同类ASP</x:v>
      </x:c>
      <x:c r="I14" s="19" t="str">
        <x:v>LightCounting同类ASP</x:v>
      </x:c>
      <x:c r="J14" s="19" t="str">
        <x:v>中</x:v>
      </x:c>
      <x:c r="K14" s="19" t="str">
        <x:v>S01;S16</x:v>
      </x:c>
      <x:c r="L14" s="19" t="str">
        <x:v>短距多模并行，光纤和端口密度较高</x:v>
      </x:c>
    </x:row>
    <x:row r="15" ht="15" hidden="0" customHeight="1">
      <x:c r="A15" s="19" t="str">
        <x:v>400-Q112-VR4-4E4O-VCSEL</x:v>
      </x:c>
      <x:c r="B15" s="19" t="str">
        <x:v>400G</x:v>
      </x:c>
      <x:c r="C15" s="19" t="str">
        <x:v>VR4/30m</x:v>
      </x:c>
      <x:c r="D15" s="19" t="str">
        <x:v>Retimed</x:v>
      </x:c>
      <x:c r="E15" s="20" t="n">
        <x:v>105</x:v>
      </x:c>
      <x:c r="F15" s="27" t="n">
        <x:f>IF(E15="","",E15*$B$5)</x:f>
        <x:v>89.25</x:v>
      </x:c>
      <x:c r="G15" s="27" t="n">
        <x:f>IF(E15="","",E15*$B$6)</x:f>
        <x:v>120.74999999999999</x:v>
      </x:c>
      <x:c r="H15" s="19" t="str">
        <x:v>以400G SR4 ASP为近似代理</x:v>
      </x:c>
      <x:c r="I15" s="19" t="str">
        <x:v>以400G SR4 ASP为近似代理</x:v>
      </x:c>
      <x:c r="J15" s="19" t="str">
        <x:v>低</x:v>
      </x:c>
      <x:c r="K15" s="19" t="str">
        <x:v>S02;S16</x:v>
      </x:c>
      <x:c r="L15" s="19" t="str">
        <x:v>价格代理</x:v>
      </x:c>
    </x:row>
    <x:row r="16" ht="24" hidden="0" customHeight="1">
      <x:c r="A16" s="19" t="str">
        <x:v>400-O112-DR4-4E4O-EML</x:v>
      </x:c>
      <x:c r="B16" s="19" t="str">
        <x:v>400G</x:v>
      </x:c>
      <x:c r="C16" s="19" t="str">
        <x:v>DR4/500m</x:v>
      </x:c>
      <x:c r="D16" s="19" t="str">
        <x:v>Retimed</x:v>
      </x:c>
      <x:c r="E16" s="20" t="n">
        <x:v>165</x:v>
      </x:c>
      <x:c r="F16" s="27" t="n">
        <x:f>IF(E16="","",E16*$B$5)</x:f>
        <x:v>140.25</x:v>
      </x:c>
      <x:c r="G16" s="27" t="n">
        <x:f>IF(E16="","",E16*$B$6)</x:f>
        <x:v>189.74999999999997</x:v>
      </x:c>
      <x:c r="H16" s="19" t="str">
        <x:v>LightCounting同类ASP</x:v>
      </x:c>
      <x:c r="I16" s="19" t="str">
        <x:v>LightCounting同类ASP</x:v>
      </x:c>
      <x:c r="J16" s="19" t="str">
        <x:v>中</x:v>
      </x:c>
      <x:c r="K16" s="19" t="str">
        <x:v>S03;S16</x:v>
      </x:c>
      <x:c r="L16" s="19" t="str">
        <x:v>4×100G电侧与4×100G光侧一一对应</x:v>
      </x:c>
    </x:row>
    <x:row r="17" ht="15" hidden="0" customHeight="1">
      <x:c r="A17" s="19" t="str">
        <x:v>400-QDD-AOC-8E8O-VCSEL</x:v>
      </x:c>
      <x:c r="B17" s="19" t="str">
        <x:v>400G</x:v>
      </x:c>
      <x:c r="C17" s="19" t="str">
        <x:v>AOC/100m</x:v>
      </x:c>
      <x:c r="D17" s="19" t="str">
        <x:v>Retimed</x:v>
      </x:c>
      <x:c r="E17" s="20" t="n">
        <x:v>80</x:v>
      </x:c>
      <x:c r="F17" s="27" t="n">
        <x:f>IF(E17="","",E17*$B$5)</x:f>
        <x:v>68</x:v>
      </x:c>
      <x:c r="G17" s="27" t="n">
        <x:f>IF(E17="","",E17*$B$6)</x:f>
        <x:v>92</x:v>
      </x:c>
      <x:c r="H17" s="19" t="str">
        <x:v>以400G SR8 ASP为近似代理</x:v>
      </x:c>
      <x:c r="I17" s="19" t="str">
        <x:v>以400G SR8 ASP为近似代理</x:v>
      </x:c>
      <x:c r="J17" s="19" t="str">
        <x:v>低</x:v>
      </x:c>
      <x:c r="K17" s="19" t="str">
        <x:v>S01;S16</x:v>
      </x:c>
      <x:c r="L17" s="19" t="str">
        <x:v>价格代理</x:v>
      </x:c>
    </x:row>
    <x:row r="18" ht="24" hidden="0" customHeight="1">
      <x:c r="A18" s="19" t="str">
        <x:v>400-QDD-DR4-8E4O-SIPH-INTEL</x:v>
      </x:c>
      <x:c r="B18" s="19" t="str">
        <x:v>400G</x:v>
      </x:c>
      <x:c r="C18" s="19" t="str">
        <x:v>DR4/500m</x:v>
      </x:c>
      <x:c r="D18" s="19" t="str">
        <x:v>Retimed</x:v>
      </x:c>
      <x:c r="E18" s="20" t="n">
        <x:v>165</x:v>
      </x:c>
      <x:c r="F18" s="27" t="n">
        <x:f>IF(E18="","",E18*$B$5)</x:f>
        <x:v>140.25</x:v>
      </x:c>
      <x:c r="G18" s="27" t="n">
        <x:f>IF(E18="","",E18*$B$6)</x:f>
        <x:v>189.74999999999997</x:v>
      </x:c>
      <x:c r="H18" s="19" t="str">
        <x:v>以LightCounting 400G DR4 ASP为代理</x:v>
      </x:c>
      <x:c r="I18" s="19" t="str">
        <x:v>以LightCounting 400G DR4 ASP为代理</x:v>
      </x:c>
      <x:c r="J18" s="19" t="str">
        <x:v>低</x:v>
      </x:c>
      <x:c r="K18" s="19" t="str">
        <x:v>S16;S27</x:v>
      </x:c>
      <x:c r="L18" s="19" t="str">
        <x:v>产品状态冲突/价格代理</x:v>
      </x:c>
    </x:row>
    <x:row r="19" ht="24" hidden="0" customHeight="1">
      <x:c r="A19" s="19" t="str">
        <x:v>800-QDD-2FR4-8E8O-EML</x:v>
      </x:c>
      <x:c r="B19" s="19" t="str">
        <x:v>800G</x:v>
      </x:c>
      <x:c r="C19" s="19" t="str">
        <x:v>2×FR4/2km</x:v>
      </x:c>
      <x:c r="D19" s="19" t="str">
        <x:v>Retimed</x:v>
      </x:c>
      <x:c r="E19" s="20" t="n">
        <x:v>360</x:v>
      </x:c>
      <x:c r="F19" s="27" t="n">
        <x:f>IF(E19="","",E19*$B$5)</x:f>
        <x:v>306</x:v>
      </x:c>
      <x:c r="G19" s="27" t="n">
        <x:f>IF(E19="","",E19*$B$6)</x:f>
        <x:v>413.99999999999994</x:v>
      </x:c>
      <x:c r="H19" s="19" t="str">
        <x:v>LightCounting同类ASP</x:v>
      </x:c>
      <x:c r="I19" s="19" t="str">
        <x:v>LightCounting同类ASP</x:v>
      </x:c>
      <x:c r="J19" s="19" t="str">
        <x:v>中</x:v>
      </x:c>
      <x:c r="K19" s="19" t="str">
        <x:v>S04;S16</x:v>
      </x:c>
      <x:c r="L19" s="19" t="str">
        <x:v>两个独立400G-FR4光接口，共8条100G光通道</x:v>
      </x:c>
    </x:row>
    <x:row r="20" ht="15" hidden="0" customHeight="1">
      <x:c r="A20" s="19" t="str">
        <x:v>800-QDD-2DR4-8E8O-EML</x:v>
      </x:c>
      <x:c r="B20" s="19" t="str">
        <x:v>800G</x:v>
      </x:c>
      <x:c r="C20" s="19" t="str">
        <x:v>2×DR4/500m</x:v>
      </x:c>
      <x:c r="D20" s="19" t="str">
        <x:v>Retimed</x:v>
      </x:c>
      <x:c r="E20" s="20" t="n">
        <x:v>320</x:v>
      </x:c>
      <x:c r="F20" s="27" t="n">
        <x:f>IF(E20="","",E20*$B$5)</x:f>
        <x:v>272</x:v>
      </x:c>
      <x:c r="G20" s="27" t="n">
        <x:f>IF(E20="","",E20*$B$6)</x:f>
        <x:v>368</x:v>
      </x:c>
      <x:c r="H20" s="19" t="str">
        <x:v>以800G DR8 ASP为近似代理</x:v>
      </x:c>
      <x:c r="I20" s="19" t="str">
        <x:v>以800G DR8 ASP为近似代理</x:v>
      </x:c>
      <x:c r="J20" s="19" t="str">
        <x:v>低</x:v>
      </x:c>
      <x:c r="K20" s="19" t="str">
        <x:v>S04;S16</x:v>
      </x:c>
      <x:c r="L20" s="19" t="str">
        <x:v>价格代理</x:v>
      </x:c>
    </x:row>
    <x:row r="21" ht="24" hidden="0" customHeight="1">
      <x:c r="A21" s="19" t="str">
        <x:v>800-QDD-DR8-8E8O-EML</x:v>
      </x:c>
      <x:c r="B21" s="19" t="str">
        <x:v>800G</x:v>
      </x:c>
      <x:c r="C21" s="19" t="str">
        <x:v>DR8/500m</x:v>
      </x:c>
      <x:c r="D21" s="19" t="str">
        <x:v>Retimed</x:v>
      </x:c>
      <x:c r="E21" s="20" t="n">
        <x:v>320</x:v>
      </x:c>
      <x:c r="F21" s="27" t="n">
        <x:f>IF(E21="","",E21*$B$5)</x:f>
        <x:v>272</x:v>
      </x:c>
      <x:c r="G21" s="27" t="n">
        <x:f>IF(E21="","",E21*$B$6)</x:f>
        <x:v>368</x:v>
      </x:c>
      <x:c r="H21" s="19" t="str">
        <x:v>LightCounting同类ASP</x:v>
      </x:c>
      <x:c r="I21" s="19" t="str">
        <x:v>LightCounting同类ASP</x:v>
      </x:c>
      <x:c r="J21" s="19" t="str">
        <x:v>中</x:v>
      </x:c>
      <x:c r="K21" s="19" t="str">
        <x:v>S04;S16</x:v>
      </x:c>
      <x:c r="L21" s="19" t="str">
        <x:v>8条100G电侧与8条100G光侧一一对应</x:v>
      </x:c>
    </x:row>
    <x:row r="22" ht="24" hidden="0" customHeight="1">
      <x:c r="A22" s="19" t="str">
        <x:v>800-QDD-SR8-8E8O-VCSEL</x:v>
      </x:c>
      <x:c r="B22" s="19" t="str">
        <x:v>800G</x:v>
      </x:c>
      <x:c r="C22" s="19" t="str">
        <x:v>SR8/50m</x:v>
      </x:c>
      <x:c r="D22" s="19" t="str">
        <x:v>Retimed</x:v>
      </x:c>
      <x:c r="E22" s="20" t="n">
        <x:v>170</x:v>
      </x:c>
      <x:c r="F22" s="27" t="n">
        <x:f>IF(E22="","",E22*$B$5)</x:f>
        <x:v>144.5</x:v>
      </x:c>
      <x:c r="G22" s="27" t="n">
        <x:f>IF(E22="","",E22*$B$6)</x:f>
        <x:v>195.49999999999997</x:v>
      </x:c>
      <x:c r="H22" s="19" t="str">
        <x:v>LightCounting同类ASP</x:v>
      </x:c>
      <x:c r="I22" s="19" t="str">
        <x:v>LightCounting同类ASP</x:v>
      </x:c>
      <x:c r="J22" s="19" t="str">
        <x:v>中</x:v>
      </x:c>
      <x:c r="K22" s="19" t="str">
        <x:v>S04;S16</x:v>
      </x:c>
      <x:c r="L22" s="19" t="str">
        <x:v>VCSEL短距路线，功耗与成本通常低于单模路线</x:v>
      </x:c>
    </x:row>
    <x:row r="23" ht="15" hidden="0" customHeight="1">
      <x:c r="A23" s="19" t="str">
        <x:v>800-O112-2LR4-8E8O-EML</x:v>
      </x:c>
      <x:c r="B23" s="19" t="str">
        <x:v>800G</x:v>
      </x:c>
      <x:c r="C23" s="19" t="str">
        <x:v>2×LR4/10km</x:v>
      </x:c>
      <x:c r="D23" s="19" t="str">
        <x:v>Retimed</x:v>
      </x:c>
      <x:c r="E23" s="20" t="n">
        <x:v>920</x:v>
      </x:c>
      <x:c r="F23" s="27" t="n">
        <x:f>IF(E23="","",E23*$B$5)</x:f>
        <x:v>782</x:v>
      </x:c>
      <x:c r="G23" s="27" t="n">
        <x:f>IF(E23="","",E23*$B$6)</x:f>
        <x:v>1058</x:v>
      </x:c>
      <x:c r="H23" s="19" t="str">
        <x:v>以2个400G LR4 ASP合计为代理</x:v>
      </x:c>
      <x:c r="I23" s="19" t="str">
        <x:v>以2个400G LR4 ASP合计为代理</x:v>
      </x:c>
      <x:c r="J23" s="19" t="str">
        <x:v>低</x:v>
      </x:c>
      <x:c r="K23" s="19" t="str">
        <x:v>S05;S16</x:v>
      </x:c>
      <x:c r="L23" s="19" t="str">
        <x:v>价格代理</x:v>
      </x:c>
    </x:row>
    <x:row r="24" ht="24" hidden="0" customHeight="1">
      <x:c r="A24" s="19" t="str">
        <x:v>800-O112-DR4-8E4O-dEML</x:v>
      </x:c>
      <x:c r="B24" s="19" t="str">
        <x:v>800G</x:v>
      </x:c>
      <x:c r="C24" s="19" t="str">
        <x:v>DR4/500m</x:v>
      </x:c>
      <x:c r="D24" s="19" t="str">
        <x:v>Retimed</x:v>
      </x:c>
      <x:c r="E24" s="20" t="n">
        <x:v>270</x:v>
      </x:c>
      <x:c r="F24" s="27" t="n">
        <x:f>IF(E24="","",E24*$B$5)</x:f>
        <x:v>229.5</x:v>
      </x:c>
      <x:c r="G24" s="27" t="n">
        <x:f>IF(E24="","",E24*$B$6)</x:f>
        <x:v>310.5</x:v>
      </x:c>
      <x:c r="H24" s="19" t="str">
        <x:v>LightCounting 800G DR4 4×200 ASP</x:v>
      </x:c>
      <x:c r="I24" s="19" t="str">
        <x:v>LightCounting 800G DR4 4×200 ASP</x:v>
      </x:c>
      <x:c r="J24" s="19" t="str">
        <x:v>中</x:v>
      </x:c>
      <x:c r="K24" s="19" t="str">
        <x:v>S06;S16</x:v>
      </x:c>
      <x:c r="L24" s="19" t="str">
        <x:v>关键示例：8×100G电侧经gearbox转换为4×200G光侧</x:v>
      </x:c>
    </x:row>
    <x:row r="25" ht="24" hidden="0" customHeight="1">
      <x:c r="A25" s="19" t="str">
        <x:v>800-O224-DR4-4E4O-EML-ILL</x:v>
      </x:c>
      <x:c r="B25" s="19" t="str">
        <x:v>800G</x:v>
      </x:c>
      <x:c r="C25" s="19" t="str">
        <x:v>DR4/500m</x:v>
      </x:c>
      <x:c r="D25" s="19" t="str">
        <x:v>Retimed</x:v>
      </x:c>
      <x:c r="E25" s="20" t="n">
        <x:v>270</x:v>
      </x:c>
      <x:c r="F25" s="27" t="n">
        <x:f>IF(E25="","",E25*$B$5)</x:f>
        <x:v>229.5</x:v>
      </x:c>
      <x:c r="G25" s="27" t="n">
        <x:f>IF(E25="","",E25*$B$6)</x:f>
        <x:v>310.5</x:v>
      </x:c>
      <x:c r="H25" s="19" t="str">
        <x:v>LightCounting 800G DR4 4×200 ASP</x:v>
      </x:c>
      <x:c r="I25" s="19" t="str">
        <x:v>LightCounting 800G DR4 4×200 ASP</x:v>
      </x:c>
      <x:c r="J25" s="19" t="str">
        <x:v>中</x:v>
      </x:c>
      <x:c r="K25" s="19" t="str">
        <x:v>S07;S16</x:v>
      </x:c>
      <x:c r="L25" s="19" t="str">
        <x:v>厂商页面内部矛盾</x:v>
      </x:c>
    </x:row>
    <x:row r="26" ht="24" hidden="0" customHeight="1">
      <x:c r="A26" s="19" t="str">
        <x:v>800-O112-DR4-8E4O-SIPH</x:v>
      </x:c>
      <x:c r="B26" s="19" t="str">
        <x:v>800G</x:v>
      </x:c>
      <x:c r="C26" s="19" t="str">
        <x:v>DR4/500m</x:v>
      </x:c>
      <x:c r="D26" s="19" t="str">
        <x:v>Retimed</x:v>
      </x:c>
      <x:c r="E26" s="20" t="n">
        <x:v>270</x:v>
      </x:c>
      <x:c r="F26" s="27" t="n">
        <x:f>IF(E26="","",E26*$B$5)</x:f>
        <x:v>229.5</x:v>
      </x:c>
      <x:c r="G26" s="27" t="n">
        <x:f>IF(E26="","",E26*$B$6)</x:f>
        <x:v>310.5</x:v>
      </x:c>
      <x:c r="H26" s="19" t="str">
        <x:v>LightCounting 800G DR4 4×200 ASP</x:v>
      </x:c>
      <x:c r="I26" s="19" t="str">
        <x:v>LightCounting 800G DR4 4×200 ASP</x:v>
      </x:c>
      <x:c r="J26" s="19" t="str">
        <x:v>中</x:v>
      </x:c>
      <x:c r="K26" s="19" t="str">
        <x:v>S08;S16</x:v>
      </x:c>
      <x:c r="L26" s="19" t="str">
        <x:v>代表性架构</x:v>
      </x:c>
    </x:row>
    <x:row r="27" ht="24" hidden="0" customHeight="1">
      <x:c r="A27" s="19" t="str">
        <x:v>800-O112-FR4-8E4O-SIPH</x:v>
      </x:c>
      <x:c r="B27" s="19" t="str">
        <x:v>800G</x:v>
      </x:c>
      <x:c r="C27" s="19" t="str">
        <x:v>FR4/2km</x:v>
      </x:c>
      <x:c r="D27" s="19" t="str">
        <x:v>Retimed</x:v>
      </x:c>
      <x:c r="E27" s="20" t="n">
        <x:v>420</x:v>
      </x:c>
      <x:c r="F27" s="27" t="n">
        <x:f>IF(E27="","",E27*$B$5)</x:f>
        <x:v>357</x:v>
      </x:c>
      <x:c r="G27" s="27" t="n">
        <x:f>IF(E27="","",E27*$B$6)</x:f>
        <x:v>482.99999999999994</x:v>
      </x:c>
      <x:c r="H27" s="19" t="str">
        <x:v>LightCounting 800G FR4 4×200 ASP</x:v>
      </x:c>
      <x:c r="I27" s="19" t="str">
        <x:v>LightCounting 800G FR4 4×200 ASP</x:v>
      </x:c>
      <x:c r="J27" s="19" t="str">
        <x:v>中</x:v>
      </x:c>
      <x:c r="K27" s="19" t="str">
        <x:v>S08;S16</x:v>
      </x:c>
      <x:c r="L27" s="19" t="str">
        <x:v>代表性架构</x:v>
      </x:c>
    </x:row>
    <x:row r="28" ht="15" hidden="0" customHeight="1">
      <x:c r="A28" s="19" t="str">
        <x:v>800-O112-2DR4-LPO-SIPH</x:v>
      </x:c>
      <x:c r="B28" s="19" t="str">
        <x:v>800G</x:v>
      </x:c>
      <x:c r="C28" s="19" t="str">
        <x:v>2×DR4/500m</x:v>
      </x:c>
      <x:c r="D28" s="19" t="str">
        <x:v>LPO</x:v>
      </x:c>
      <x:c r="E28" s="20"/>
      <x:c r="F28" s="27"/>
      <x:c r="G28" s="27"/>
      <x:c r="H28" s="19" t="str">
        <x:v>公开同口径ASP缺失</x:v>
      </x:c>
      <x:c r="I28" s="19" t="str">
        <x:v>公开同口径ASP缺失</x:v>
      </x:c>
      <x:c r="J28" s="19" t="str">
        <x:v>低</x:v>
      </x:c>
      <x:c r="K28" s="19" t="str">
        <x:v>S09</x:v>
      </x:c>
      <x:c r="L28" s="19" t="str">
        <x:v>需RFQ</x:v>
      </x:c>
    </x:row>
    <x:row r="29" ht="15" hidden="0" customHeight="1">
      <x:c r="A29" s="19" t="str">
        <x:v>800-O112-DR8-LRO-SIPH</x:v>
      </x:c>
      <x:c r="B29" s="19" t="str">
        <x:v>800G</x:v>
      </x:c>
      <x:c r="C29" s="19" t="str">
        <x:v>DR8/500m</x:v>
      </x:c>
      <x:c r="D29" s="19" t="str">
        <x:v>LRO</x:v>
      </x:c>
      <x:c r="E29" s="20"/>
      <x:c r="F29" s="27"/>
      <x:c r="G29" s="27"/>
      <x:c r="H29" s="19" t="str">
        <x:v>公开同口径ASP缺失</x:v>
      </x:c>
      <x:c r="I29" s="19" t="str">
        <x:v>公开同口径ASP缺失</x:v>
      </x:c>
      <x:c r="J29" s="19" t="str">
        <x:v>低</x:v>
      </x:c>
      <x:c r="K29" s="19" t="str">
        <x:v>S09</x:v>
      </x:c>
      <x:c r="L29" s="19" t="str">
        <x:v>需RFQ</x:v>
      </x:c>
    </x:row>
    <x:row r="30" ht="15" hidden="0" customHeight="1">
      <x:c r="A30" s="19" t="str">
        <x:v>1600-O224-DR8-8E8O-EML</x:v>
      </x:c>
      <x:c r="B30" s="19" t="str">
        <x:v>1.6T</x:v>
      </x:c>
      <x:c r="C30" s="19" t="str">
        <x:v>DR8/500m</x:v>
      </x:c>
      <x:c r="D30" s="19" t="str">
        <x:v>Retimed</x:v>
      </x:c>
      <x:c r="E30" s="20" t="n">
        <x:v>520</x:v>
      </x:c>
      <x:c r="F30" s="27" t="n">
        <x:f>IF(E30="","",E30*$B$5)</x:f>
        <x:v>442</x:v>
      </x:c>
      <x:c r="G30" s="27" t="n">
        <x:f>IF(E30="","",E30*$B$6)</x:f>
        <x:v>598</x:v>
      </x:c>
      <x:c r="H30" s="19" t="str">
        <x:v>LightCounting 1.6T DR8 ASP</x:v>
      </x:c>
      <x:c r="I30" s="19" t="str">
        <x:v>LightCounting 1.6T DR8 ASP</x:v>
      </x:c>
      <x:c r="J30" s="19" t="str">
        <x:v>中</x:v>
      </x:c>
      <x:c r="K30" s="19" t="str">
        <x:v>S10;S16</x:v>
      </x:c>
      <x:c r="L30" s="19" t="str">
        <x:v>连接器未披露</x:v>
      </x:c>
    </x:row>
    <x:row r="31" ht="24" hidden="0" customHeight="1">
      <x:c r="A31" s="19" t="str">
        <x:v>1600-O224-DR8-8E8O-SIPH</x:v>
      </x:c>
      <x:c r="B31" s="19" t="str">
        <x:v>1.6T</x:v>
      </x:c>
      <x:c r="C31" s="19" t="str">
        <x:v>DR8/500m</x:v>
      </x:c>
      <x:c r="D31" s="19" t="str">
        <x:v>Retimed</x:v>
      </x:c>
      <x:c r="E31" s="20" t="n">
        <x:v>520</x:v>
      </x:c>
      <x:c r="F31" s="27" t="n">
        <x:f>IF(E31="","",E31*$B$5)</x:f>
        <x:v>442</x:v>
      </x:c>
      <x:c r="G31" s="27" t="n">
        <x:f>IF(E31="","",E31*$B$6)</x:f>
        <x:v>598</x:v>
      </x:c>
      <x:c r="H31" s="19" t="str">
        <x:v>LightCounting 1.6T DR8 ASP</x:v>
      </x:c>
      <x:c r="I31" s="19" t="str">
        <x:v>LightCounting 1.6T DR8 ASP</x:v>
      </x:c>
      <x:c r="J31" s="19" t="str">
        <x:v>中</x:v>
      </x:c>
      <x:c r="K31" s="19" t="str">
        <x:v>S06;S11;S16</x:v>
      </x:c>
      <x:c r="L31" s="19" t="str">
        <x:v>公开产品确认8×200G、500m、dual MPO12和SiPh路线</x:v>
      </x:c>
    </x:row>
    <x:row r="32" ht="15" hidden="0" customHeight="1">
      <x:c r="A32" s="19" t="str">
        <x:v>1600-O224-2DR4-8E8O-SIPH</x:v>
      </x:c>
      <x:c r="B32" s="19" t="str">
        <x:v>1.6T</x:v>
      </x:c>
      <x:c r="C32" s="19" t="str">
        <x:v>2×DR4/500m</x:v>
      </x:c>
      <x:c r="D32" s="19" t="str">
        <x:v>Retimed</x:v>
      </x:c>
      <x:c r="E32" s="20" t="n">
        <x:v>520</x:v>
      </x:c>
      <x:c r="F32" s="27" t="n">
        <x:f>IF(E32="","",E32*$B$5)</x:f>
        <x:v>442</x:v>
      </x:c>
      <x:c r="G32" s="27" t="n">
        <x:f>IF(E32="","",E32*$B$6)</x:f>
        <x:v>598</x:v>
      </x:c>
      <x:c r="H32" s="19" t="str">
        <x:v>以1.6T DR8 ASP为代理</x:v>
      </x:c>
      <x:c r="I32" s="19" t="str">
        <x:v>以1.6T DR8 ASP为代理</x:v>
      </x:c>
      <x:c r="J32" s="19" t="str">
        <x:v>低</x:v>
      </x:c>
      <x:c r="K32" s="19" t="str">
        <x:v>S08;S12;S16</x:v>
      </x:c>
      <x:c r="L32" s="19" t="str">
        <x:v>价格代理</x:v>
      </x:c>
    </x:row>
    <x:row r="33" ht="15" hidden="0" customHeight="1">
      <x:c r="A33" s="19" t="str">
        <x:v>1600-O224-2FR4-8E8O-SIPH</x:v>
      </x:c>
      <x:c r="B33" s="19" t="str">
        <x:v>1.6T</x:v>
      </x:c>
      <x:c r="C33" s="19" t="str">
        <x:v>2×FR4/2km</x:v>
      </x:c>
      <x:c r="D33" s="19" t="str">
        <x:v>Retimed</x:v>
      </x:c>
      <x:c r="E33" s="20" t="n">
        <x:v>560</x:v>
      </x:c>
      <x:c r="F33" s="27" t="n">
        <x:f>IF(E33="","",E33*$B$5)</x:f>
        <x:v>476</x:v>
      </x:c>
      <x:c r="G33" s="27" t="n">
        <x:f>IF(E33="","",E33*$B$6)</x:f>
        <x:v>644</x:v>
      </x:c>
      <x:c r="H33" s="19" t="str">
        <x:v>以1.6T FR8 ASP为代理</x:v>
      </x:c>
      <x:c r="I33" s="19" t="str">
        <x:v>以1.6T FR8 ASP为代理</x:v>
      </x:c>
      <x:c r="J33" s="19" t="str">
        <x:v>低</x:v>
      </x:c>
      <x:c r="K33" s="19" t="str">
        <x:v>S08;S12;S16</x:v>
      </x:c>
      <x:c r="L33" s="19" t="str">
        <x:v>价格代理</x:v>
      </x:c>
    </x:row>
    <x:row r="34" ht="15" hidden="0" customHeight="1">
      <x:c r="A34" s="19" t="str">
        <x:v>1600-O224-DR8-LPO-SIPH</x:v>
      </x:c>
      <x:c r="B34" s="19" t="str">
        <x:v>1.6T</x:v>
      </x:c>
      <x:c r="C34" s="19" t="str">
        <x:v>DR8/500m</x:v>
      </x:c>
      <x:c r="D34" s="19" t="str">
        <x:v>LPO</x:v>
      </x:c>
      <x:c r="E34" s="20"/>
      <x:c r="F34" s="27"/>
      <x:c r="G34" s="27"/>
      <x:c r="H34" s="19" t="str">
        <x:v>公开同口径ASP缺失</x:v>
      </x:c>
      <x:c r="I34" s="19" t="str">
        <x:v>公开同口径ASP缺失</x:v>
      </x:c>
      <x:c r="J34" s="19" t="str">
        <x:v>低</x:v>
      </x:c>
      <x:c r="K34" s="19" t="str">
        <x:v>S09</x:v>
      </x:c>
      <x:c r="L34" s="19" t="str">
        <x:v>需RFQ</x:v>
      </x:c>
    </x:row>
    <x:row r="35" ht="15" hidden="0" customHeight="1">
      <x:c r="A35" s="19" t="str">
        <x:v>1600-O224-2DR4-LPO-SIPH</x:v>
      </x:c>
      <x:c r="B35" s="19" t="str">
        <x:v>1.6T</x:v>
      </x:c>
      <x:c r="C35" s="19" t="str">
        <x:v>2×DR4/500m</x:v>
      </x:c>
      <x:c r="D35" s="19" t="str">
        <x:v>LPO</x:v>
      </x:c>
      <x:c r="E35" s="20"/>
      <x:c r="F35" s="27"/>
      <x:c r="G35" s="27"/>
      <x:c r="H35" s="19" t="str">
        <x:v>公开同口径ASP缺失</x:v>
      </x:c>
      <x:c r="I35" s="19" t="str">
        <x:v>公开同口径ASP缺失</x:v>
      </x:c>
      <x:c r="J35" s="19" t="str">
        <x:v>低</x:v>
      </x:c>
      <x:c r="K35" s="19" t="str">
        <x:v>S09</x:v>
      </x:c>
      <x:c r="L35" s="19" t="str">
        <x:v>需RFQ</x:v>
      </x:c>
    </x:row>
    <x:row r="36" ht="15" hidden="0" customHeight="1">
      <x:c r="A36" s="19" t="str">
        <x:v>1600-O224-DR8-RTLR</x:v>
      </x:c>
      <x:c r="B36" s="19" t="str">
        <x:v>1.6T</x:v>
      </x:c>
      <x:c r="C36" s="19" t="str">
        <x:v>DR8/500m</x:v>
      </x:c>
      <x:c r="D36" s="19" t="str">
        <x:v>RTLR</x:v>
      </x:c>
      <x:c r="E36" s="20"/>
      <x:c r="F36" s="27"/>
      <x:c r="G36" s="27"/>
      <x:c r="H36" s="19" t="str">
        <x:v>公开同口径ASP缺失</x:v>
      </x:c>
      <x:c r="I36" s="19" t="str">
        <x:v>公开同口径ASP缺失</x:v>
      </x:c>
      <x:c r="J36" s="19" t="str">
        <x:v>低</x:v>
      </x:c>
      <x:c r="K36" s="19" t="str">
        <x:v>S13</x:v>
      </x:c>
      <x:c r="L36" s="19" t="str">
        <x:v>需RFQ</x:v>
      </x:c>
    </x:row>
    <x:row r="37" ht="15" hidden="0" customHeight="1">
      <x:c r="A37" s="19" t="str">
        <x:v>1600-O224-SR8-8E8O-VCSEL</x:v>
      </x:c>
      <x:c r="B37" s="19" t="str">
        <x:v>1.6T</x:v>
      </x:c>
      <x:c r="C37" s="19" t="str">
        <x:v>SR8/短距</x:v>
      </x:c>
      <x:c r="D37" s="19" t="str">
        <x:v>Retimed</x:v>
      </x:c>
      <x:c r="E37" s="20" t="n">
        <x:v>480</x:v>
      </x:c>
      <x:c r="F37" s="27" t="n">
        <x:f>IF(E37="","",E37*$B$5)</x:f>
        <x:v>408</x:v>
      </x:c>
      <x:c r="G37" s="27" t="n">
        <x:f>IF(E37="","",E37*$B$6)</x:f>
        <x:v>552</x:v>
      </x:c>
      <x:c r="H37" s="19" t="str">
        <x:v>LightCounting 1.6T SR8 ASP</x:v>
      </x:c>
      <x:c r="I37" s="19" t="str">
        <x:v>LightCounting 1.6T SR8 ASP</x:v>
      </x:c>
      <x:c r="J37" s="19" t="str">
        <x:v>低</x:v>
      </x:c>
      <x:c r="K37" s="19" t="str">
        <x:v>S16</x:v>
      </x:c>
      <x:c r="L37" s="19" t="str">
        <x:v>非特定量产SKU</x:v>
      </x:c>
    </x:row>
    <x:row r="38" ht="15" hidden="0" customHeight="1">
      <x:c r="A38" s="19" t="str">
        <x:v>1600-O224-AOC-8E8O-SIPH</x:v>
      </x:c>
      <x:c r="B38" s="19" t="str">
        <x:v>1.6T</x:v>
      </x:c>
      <x:c r="C38" s="19" t="str">
        <x:v>AOC/短距</x:v>
      </x:c>
      <x:c r="D38" s="19" t="str">
        <x:v>Retimed/厂商方案</x:v>
      </x:c>
      <x:c r="E38" s="20"/>
      <x:c r="F38" s="27"/>
      <x:c r="G38" s="27"/>
      <x:c r="H38" s="19" t="str">
        <x:v>公开同口径ASP缺失</x:v>
      </x:c>
      <x:c r="I38" s="19" t="str">
        <x:v>公开同口径ASP缺失</x:v>
      </x:c>
      <x:c r="J38" s="19" t="str">
        <x:v>低</x:v>
      </x:c>
      <x:c r="K38" s="19" t="str">
        <x:v>S09</x:v>
      </x:c>
      <x:c r="L38" s="19" t="str">
        <x:v>需RFQ</x:v>
      </x:c>
    </x:row>
    <x:row r="39" ht="15" hidden="0" customHeight="1">
      <x:c r="A39" s="19" t="str">
        <x:v>3200-CPO-8DR4-INT</x:v>
      </x:c>
      <x:c r="B39" s="19" t="str">
        <x:v>3.2T</x:v>
      </x:c>
      <x:c r="C39" s="19" t="str">
        <x:v>8×400G-DR4</x:v>
      </x:c>
      <x:c r="D39" s="19" t="str">
        <x:v>CPO</x:v>
      </x:c>
      <x:c r="E39" s="20"/>
      <x:c r="F39" s="27"/>
      <x:c r="G39" s="27"/>
      <x:c r="H39" s="19" t="str">
        <x:v>无公开可比模块ASP</x:v>
      </x:c>
      <x:c r="I39" s="19" t="str">
        <x:v>无公开可比模块ASP</x:v>
      </x:c>
      <x:c r="J39" s="19" t="str">
        <x:v>低</x:v>
      </x:c>
      <x:c r="K39" s="19" t="str">
        <x:v>S14</x:v>
      </x:c>
      <x:c r="L39" s="19" t="str">
        <x:v>不可与可插拔ASP直接比较</x:v>
      </x:c>
    </x:row>
    <x:row r="40" ht="15" hidden="0" customHeight="1">
      <x:c r="A40" s="19" t="str">
        <x:v>3200-CPO-8DR4-EXT-8PMF</x:v>
      </x:c>
      <x:c r="B40" s="19" t="str">
        <x:v>3.2T</x:v>
      </x:c>
      <x:c r="C40" s="19" t="str">
        <x:v>8×400G-DR4</x:v>
      </x:c>
      <x:c r="D40" s="19" t="str">
        <x:v>CPO</x:v>
      </x:c>
      <x:c r="E40" s="20"/>
      <x:c r="F40" s="27"/>
      <x:c r="G40" s="27"/>
      <x:c r="H40" s="19" t="str">
        <x:v>无公开可比模块ASP</x:v>
      </x:c>
      <x:c r="I40" s="19" t="str">
        <x:v>无公开可比模块ASP</x:v>
      </x:c>
      <x:c r="J40" s="19" t="str">
        <x:v>低</x:v>
      </x:c>
      <x:c r="K40" s="19" t="str">
        <x:v>S14</x:v>
      </x:c>
      <x:c r="L40" s="19" t="str">
        <x:v>不可与可插拔ASP直接比较</x:v>
      </x:c>
    </x:row>
    <x:row r="41" ht="15" hidden="0" customHeight="1">
      <x:c r="A41" s="19" t="str">
        <x:v>3200-CPO-8DR4-EXT-4PMF</x:v>
      </x:c>
      <x:c r="B41" s="19" t="str">
        <x:v>3.2T</x:v>
      </x:c>
      <x:c r="C41" s="19" t="str">
        <x:v>8×400G-DR4</x:v>
      </x:c>
      <x:c r="D41" s="19" t="str">
        <x:v>CPO</x:v>
      </x:c>
      <x:c r="E41" s="20"/>
      <x:c r="F41" s="27"/>
      <x:c r="G41" s="27"/>
      <x:c r="H41" s="19" t="str">
        <x:v>无公开可比模块ASP</x:v>
      </x:c>
      <x:c r="I41" s="19" t="str">
        <x:v>无公开可比模块ASP</x:v>
      </x:c>
      <x:c r="J41" s="19" t="str">
        <x:v>低</x:v>
      </x:c>
      <x:c r="K41" s="19" t="str">
        <x:v>S14</x:v>
      </x:c>
      <x:c r="L41" s="19" t="str">
        <x:v>不可与可插拔ASP直接比较</x:v>
      </x:c>
    </x:row>
    <x:row r="42" ht="15" hidden="0" customHeight="1">
      <x:c r="A42" s="19" t="str">
        <x:v>3200-CPO-8FR4-INT</x:v>
      </x:c>
      <x:c r="B42" s="19" t="str">
        <x:v>3.2T</x:v>
      </x:c>
      <x:c r="C42" s="19" t="str">
        <x:v>8×400G-FR4</x:v>
      </x:c>
      <x:c r="D42" s="19" t="str">
        <x:v>CPO</x:v>
      </x:c>
      <x:c r="E42" s="20"/>
      <x:c r="F42" s="27"/>
      <x:c r="G42" s="27"/>
      <x:c r="H42" s="19" t="str">
        <x:v>无公开可比模块ASP</x:v>
      </x:c>
      <x:c r="I42" s="19" t="str">
        <x:v>无公开可比模块ASP</x:v>
      </x:c>
      <x:c r="J42" s="19" t="str">
        <x:v>低</x:v>
      </x:c>
      <x:c r="K42" s="19" t="str">
        <x:v>S14</x:v>
      </x:c>
      <x:c r="L42" s="19" t="str">
        <x:v>不可与可插拔ASP直接比较</x:v>
      </x:c>
    </x:row>
    <x:row r="43" ht="15" hidden="0" customHeight="1">
      <x:c r="A43" s="19" t="str">
        <x:v>3200-CPO-8FR4-EXT-8PMF</x:v>
      </x:c>
      <x:c r="B43" s="19" t="str">
        <x:v>3.2T</x:v>
      </x:c>
      <x:c r="C43" s="19" t="str">
        <x:v>8×400G-FR4</x:v>
      </x:c>
      <x:c r="D43" s="19" t="str">
        <x:v>CPO</x:v>
      </x:c>
      <x:c r="E43" s="20"/>
      <x:c r="F43" s="27"/>
      <x:c r="G43" s="27"/>
      <x:c r="H43" s="19" t="str">
        <x:v>无公开可比模块ASP</x:v>
      </x:c>
      <x:c r="I43" s="19" t="str">
        <x:v>无公开可比模块ASP</x:v>
      </x:c>
      <x:c r="J43" s="19" t="str">
        <x:v>低</x:v>
      </x:c>
      <x:c r="K43" s="19" t="str">
        <x:v>S14</x:v>
      </x:c>
      <x:c r="L43" s="19" t="str">
        <x:v>不可与可插拔ASP直接比较</x:v>
      </x:c>
    </x:row>
    <x:row r="44" ht="15" hidden="0" customHeight="1">
      <x:c r="A44" s="19" t="str">
        <x:v>3200-CPO-8FR4-EXT-4PMF</x:v>
      </x:c>
      <x:c r="B44" s="19" t="str">
        <x:v>3.2T</x:v>
      </x:c>
      <x:c r="C44" s="19" t="str">
        <x:v>8×400G-FR4</x:v>
      </x:c>
      <x:c r="D44" s="19" t="str">
        <x:v>CPO</x:v>
      </x:c>
      <x:c r="E44" s="20"/>
      <x:c r="F44" s="27"/>
      <x:c r="G44" s="27"/>
      <x:c r="H44" s="19" t="str">
        <x:v>无公开可比模块ASP</x:v>
      </x:c>
      <x:c r="I44" s="19" t="str">
        <x:v>无公开可比模块ASP</x:v>
      </x:c>
      <x:c r="J44" s="19" t="str">
        <x:v>低</x:v>
      </x:c>
      <x:c r="K44" s="19" t="str">
        <x:v>S14</x:v>
      </x:c>
      <x:c r="L44" s="19" t="str">
        <x:v>不可与可插拔ASP直接比较</x:v>
      </x:c>
    </x:row>
    <x:row r="45" ht="24" hidden="0" customHeight="1">
      <x:c r="A45" s="19" t="str">
        <x:v>3200-OSFPXD-DR-RETIMED</x:v>
      </x:c>
      <x:c r="B45" s="19" t="str">
        <x:v>3.2T</x:v>
      </x:c>
      <x:c r="C45" s="19" t="str">
        <x:v>DR roadmap</x:v>
      </x:c>
      <x:c r="D45" s="19" t="str">
        <x:v>Retimed</x:v>
      </x:c>
      <x:c r="E45" s="20" t="n">
        <x:v>1350</x:v>
      </x:c>
      <x:c r="F45" s="27" t="n">
        <x:f>IF(E45="","",E45*$B$5)</x:f>
        <x:v>1147.5</x:v>
      </x:c>
      <x:c r="G45" s="27" t="n">
        <x:f>IF(E45="","",E45*$B$6)</x:f>
        <x:v>1552.4999999999998</x:v>
      </x:c>
      <x:c r="H45" s="19" t="str">
        <x:v>LightCounting 3.2T Retimed Pluggable预测</x:v>
      </x:c>
      <x:c r="I45" s="19" t="str">
        <x:v>LightCounting 3.2T Retimed Pluggable预测</x:v>
      </x:c>
      <x:c r="J45" s="19" t="str">
        <x:v>低</x:v>
      </x:c>
      <x:c r="K45" s="19" t="str">
        <x:v>S15;S16</x:v>
      </x:c>
      <x:c r="L45" s="19" t="str">
        <x:v>通道规格未锁定</x:v>
      </x:c>
    </x:row>
    <x:row r="46" ht="24" hidden="0" customHeight="1">
      <x:c r="A46" s="19" t="str">
        <x:v>3200-OSFPXD-FR-RETIMED</x:v>
      </x:c>
      <x:c r="B46" s="19" t="str">
        <x:v>3.2T</x:v>
      </x:c>
      <x:c r="C46" s="19" t="str">
        <x:v>FR roadmap</x:v>
      </x:c>
      <x:c r="D46" s="19" t="str">
        <x:v>Retimed</x:v>
      </x:c>
      <x:c r="E46" s="20" t="n">
        <x:v>1400</x:v>
      </x:c>
      <x:c r="F46" s="27" t="n">
        <x:f>IF(E46="","",E46*$B$5)</x:f>
        <x:v>1190</x:v>
      </x:c>
      <x:c r="G46" s="27" t="n">
        <x:f>IF(E46="","",E46*$B$6)</x:f>
        <x:v>1609.9999999999998</x:v>
      </x:c>
      <x:c r="H46" s="19" t="str">
        <x:v>LightCounting 3.2T Retimed Pluggable预测</x:v>
      </x:c>
      <x:c r="I46" s="19" t="str">
        <x:v>LightCounting 3.2T Retimed Pluggable预测</x:v>
      </x:c>
      <x:c r="J46" s="19" t="str">
        <x:v>低</x:v>
      </x:c>
      <x:c r="K46" s="19" t="str">
        <x:v>S15;S16</x:v>
      </x:c>
      <x:c r="L46" s="19" t="str">
        <x:v>通道规格未锁定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d85428de79f4a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440000057220459" hidden="0" customWidth="1"/>
    <x:col min="2" max="2" width="30" hidden="0" customWidth="1"/>
    <x:col min="3" max="3" width="17.219999313354492" hidden="0" customWidth="1"/>
    <x:col min="4" max="4" width="30" hidden="0" customWidth="1"/>
    <x:col min="5" max="5" width="30" hidden="0" customWidth="1"/>
    <x:col min="6" max="6" width="30" hidden="0" customWidth="1"/>
    <x:col min="7" max="7" width="12.329999923706055" hidden="0" customWidth="1"/>
  </x:cols>
  <x:sheetData>
    <x:row r="1" ht="21.600000381469727" hidden="0" customHeight="1">
      <x:c r="A1" s="4" t="str">
        <x:v>厂商与生态库</x:v>
      </x:c>
      <x:c r="B1" s="4" t="str">
        <x:v>厂商与生态库</x:v>
      </x:c>
      <x:c r="C1" s="4" t="str">
        <x:v>厂商与生态库</x:v>
      </x:c>
      <x:c r="D1" s="4" t="str">
        <x:v>厂商与生态库</x:v>
      </x:c>
      <x:c r="E1" s="4" t="str">
        <x:v>厂商与生态库</x:v>
      </x:c>
      <x:c r="F1" s="4" t="str">
        <x:v>厂商与生态库</x:v>
      </x:c>
      <x:c r="G1" s="4" t="str">
        <x:v>厂商与生态库</x:v>
      </x:c>
    </x:row>
    <x:row r="2" ht="15" hidden="0" customHeight="1">
      <x:c r="A2" s="7" t="str">
        <x:v>厂商列用于理解产业链覆盖，不用于推定某一具体SKU的供应份额或客户关系</x:v>
      </x:c>
      <x:c r="B2" s="7" t="str">
        <x:v>厂商列用于理解产业链覆盖，不用于推定某一具体SKU的供应份额或客户关系</x:v>
      </x:c>
      <x:c r="C2" s="7" t="str">
        <x:v>厂商列用于理解产业链覆盖，不用于推定某一具体SKU的供应份额或客户关系</x:v>
      </x:c>
      <x:c r="D2" s="7" t="str">
        <x:v>厂商列用于理解产业链覆盖，不用于推定某一具体SKU的供应份额或客户关系</x:v>
      </x:c>
      <x:c r="E2" s="7" t="str">
        <x:v>厂商列用于理解产业链覆盖，不用于推定某一具体SKU的供应份额或客户关系</x:v>
      </x:c>
      <x:c r="F2" s="7" t="str">
        <x:v>厂商列用于理解产业链覆盖，不用于推定某一具体SKU的供应份额或客户关系</x:v>
      </x:c>
      <x:c r="G2" s="7" t="str">
        <x:v>厂商列用于理解产业链覆盖，不用于推定某一具体SKU的供应份额或客户关系</x:v>
      </x:c>
    </x:row>
    <x:row r="3" ht="15" hidden="0" customHeight="1">
      <x:c r="A3" s="21" t="str">
        <x:v>← 返回‘00_型号选择器’工作表</x:v>
      </x:c>
    </x:row>
    <x:row r="4" ht="15" hidden="0" customHeight="1">
      <x:c r="A4" s="13" t="str">
        <x:v>Vendor_ID</x:v>
      </x:c>
      <x:c r="B4" s="13" t="str">
        <x:v>厂商</x:v>
      </x:c>
      <x:c r="C4" s="13" t="str">
        <x:v>环节</x:v>
      </x:c>
      <x:c r="D4" s="13" t="str">
        <x:v>代表产品/能力</x:v>
      </x:c>
      <x:c r="E4" s="13" t="str">
        <x:v>覆盖路线</x:v>
      </x:c>
      <x:c r="F4" s="13" t="str">
        <x:v>公开证据边界</x:v>
      </x:c>
      <x:c r="G4" s="13" t="str">
        <x:v>Source_ID</x:v>
      </x:c>
    </x:row>
    <x:row r="5" ht="24" hidden="0" customHeight="1">
      <x:c r="A5" s="19" t="str">
        <x:v>V001</x:v>
      </x:c>
      <x:c r="B5" s="19" t="str">
        <x:v>InnoLight 中际旭创</x:v>
      </x:c>
      <x:c r="C5" s="19" t="str">
        <x:v>光模块</x:v>
      </x:c>
      <x:c r="D5" s="19" t="str">
        <x:v>400G/800G/1.6T可插拔模块</x:v>
      </x:c>
      <x:c r="E5" s="19" t="str">
        <x:v>VCSEL、EML、部分SiPh</x:v>
      </x:c>
      <x:c r="F5" s="19" t="str">
        <x:v>产品页能支持SKU规格，不能反推内部全部供应商</x:v>
      </x:c>
      <x:c r="G5" s="19" t="str">
        <x:v>S01-S05;S07;S10</x:v>
      </x:c>
    </x:row>
    <x:row r="6" ht="15" hidden="0" customHeight="1">
      <x:c r="A6" s="19" t="str">
        <x:v>V002</x:v>
      </x:c>
      <x:c r="B6" s="19" t="str">
        <x:v>Coherent</x:v>
      </x:c>
      <x:c r="C6" s="19" t="str">
        <x:v>光模块/激光器/材料</x:v>
      </x:c>
      <x:c r="D6" s="19" t="str">
        <x:v>800G/1.6T模块、VCSEL/PD、EML、SiPh CPO与ELS</x:v>
      </x:c>
      <x:c r="E6" s="19" t="str">
        <x:v>EML、SiPh、VCSEL、CPO</x:v>
      </x:c>
      <x:c r="F6" s="19" t="str">
        <x:v>官网可确认产品与演示，仍不能反推其他模块厂的定点供应关系</x:v>
      </x:c>
      <x:c r="G6" s="19" t="str">
        <x:v>S06;S11;S32;S40</x:v>
      </x:c>
    </x:row>
    <x:row r="7" ht="15" hidden="0" customHeight="1">
      <x:c r="A7" s="19" t="str">
        <x:v>V003</x:v>
      </x:c>
      <x:c r="B7" s="19" t="str">
        <x:v>Amphenol CS/XGiga</x:v>
      </x:c>
      <x:c r="C7" s="19" t="str">
        <x:v>光模块/连接</x:v>
      </x:c>
      <x:c r="D7" s="19" t="str">
        <x:v>800G/1.6T Retimed、LPO、LRO、AOC</x:v>
      </x:c>
      <x:c r="E7" s="19" t="str">
        <x:v>SiPh+DSP、LPO/LRO</x:v>
      </x:c>
      <x:c r="F7" s="19" t="str">
        <x:v>系列页不能替代具体SKU datasheet</x:v>
      </x:c>
      <x:c r="G7" s="19" t="str">
        <x:v>S08;S09</x:v>
      </x:c>
    </x:row>
    <x:row r="8" ht="15" hidden="0" customHeight="1">
      <x:c r="A8" s="19" t="str">
        <x:v>V004</x:v>
      </x:c>
      <x:c r="B8" s="19" t="str">
        <x:v>Jabil</x:v>
      </x:c>
      <x:c r="C8" s="19" t="str">
        <x:v>光模块/制造服务</x:v>
      </x:c>
      <x:c r="D8" s="19" t="str">
        <x:v>1.6T DR8/2×DR4产品族</x:v>
      </x:c>
      <x:c r="E8" s="19" t="str">
        <x:v>Retimed/RTLR</x:v>
      </x:c>
      <x:c r="F8" s="19" t="str">
        <x:v>本底稿只使用公开资料包索引</x:v>
      </x:c>
      <x:c r="G8" s="19" t="str">
        <x:v>S12</x:v>
      </x:c>
    </x:row>
    <x:row r="9" ht="15" hidden="0" customHeight="1">
      <x:c r="A9" s="19" t="str">
        <x:v>V005</x:v>
      </x:c>
      <x:c r="B9" s="19" t="str">
        <x:v>Hisense Broadband</x:v>
      </x:c>
      <x:c r="C9" s="19" t="str">
        <x:v>光模块</x:v>
      </x:c>
      <x:c r="D9" s="19" t="str">
        <x:v>1.6T DR8 RTLR互操作</x:v>
      </x:c>
      <x:c r="E9" s="19" t="str">
        <x:v>RTLR</x:v>
      </x:c>
      <x:c r="F9" s="19" t="str">
        <x:v>互操作不等同于规模出货</x:v>
      </x:c>
      <x:c r="G9" s="19" t="str">
        <x:v>S13</x:v>
      </x:c>
    </x:row>
    <x:row r="10" ht="15" hidden="0" customHeight="1">
      <x:c r="A10" s="19" t="str">
        <x:v>V006</x:v>
      </x:c>
      <x:c r="B10" s="19" t="str">
        <x:v>Broadcom</x:v>
      </x:c>
      <x:c r="C10" s="19" t="str">
        <x:v>DSP/光引擎/CPO生态</x:v>
      </x:c>
      <x:c r="D10" s="19" t="str">
        <x:v>400G至1.6T光模块DSP、200G/lane VCSEL/EML/CWL及CPO平台</x:v>
      </x:c>
      <x:c r="E10" s="19" t="str">
        <x:v>Retimed、VCSEL、EML、SiPh、CPO</x:v>
      </x:c>
      <x:c r="F10" s="19" t="str">
        <x:v>产品族与平台能力可核验，具体模块BOM需SKU或拆机证据</x:v>
      </x:c>
      <x:c r="G10" s="19" t="str">
        <x:v>S14;S29;S30</x:v>
      </x:c>
    </x:row>
    <x:row r="11" ht="15" hidden="0" customHeight="1">
      <x:c r="A11" s="19" t="str">
        <x:v>V007</x:v>
      </x:c>
      <x:c r="B11" s="19" t="str">
        <x:v>Marvell</x:v>
      </x:c>
      <x:c r="C11" s="19" t="str">
        <x:v>DSP/光引擎</x:v>
      </x:c>
      <x:c r="D11" s="19" t="str">
        <x:v>Ara/Nova/Spica/Perseus PAM4 DSP、Gearbox与SiPh平台</x:v>
      </x:c>
      <x:c r="E11" s="19" t="str">
        <x:v>Retimed、Gearbox、SiPh</x:v>
      </x:c>
      <x:c r="F11" s="19" t="str">
        <x:v>官网可确认产品族、集成TIA/Driver能力，不代表特定模块独家供应</x:v>
      </x:c>
      <x:c r="G11" s="19" t="str">
        <x:v>S28</x:v>
      </x:c>
    </x:row>
    <x:row r="12" ht="15" hidden="0" customHeight="1">
      <x:c r="A12" s="19" t="str">
        <x:v>V008</x:v>
      </x:c>
      <x:c r="B12" s="19" t="str">
        <x:v>Credo</x:v>
      </x:c>
      <x:c r="C12" s="19" t="str">
        <x:v>DSP/Retimer</x:v>
      </x:c>
      <x:c r="D12" s="19" t="str">
        <x:v>Bluebird DSP、SerDes</x:v>
      </x:c>
      <x:c r="E12" s="19" t="str">
        <x:v>Retimed、LRO</x:v>
      </x:c>
      <x:c r="F12" s="19" t="str">
        <x:v>通用生态名单</x:v>
      </x:c>
      <x:c r="G12" s="19" t="str">
        <x:v>S18</x:v>
      </x:c>
    </x:row>
    <x:row r="13" ht="15" hidden="0" customHeight="1">
      <x:c r="A13" s="19" t="str">
        <x:v>V009</x:v>
      </x:c>
      <x:c r="B13" s="19" t="str">
        <x:v>Lumentum</x:v>
      </x:c>
      <x:c r="C13" s="19" t="str">
        <x:v>激光器/VCSEL/光器件</x:v>
      </x:c>
      <x:c r="D13" s="19" t="str">
        <x:v>100G/200G EML、CW/UHP激光、VCSEL及ELSFP</x:v>
      </x:c>
      <x:c r="E13" s="19" t="str">
        <x:v>VCSEL、EML、CW、CPO外置光源</x:v>
      </x:c>
      <x:c r="F13" s="19" t="str">
        <x:v>官网可确认产品族，价格与特定SKU定点关系仍为RFQ</x:v>
      </x:c>
      <x:c r="G13" s="19" t="str">
        <x:v>S31;S39</x:v>
      </x:c>
    </x:row>
    <x:row r="14" ht="15" hidden="0" customHeight="1">
      <x:c r="A14" s="19" t="str">
        <x:v>V010</x:v>
      </x:c>
      <x:c r="B14" s="19" t="str">
        <x:v>Mitsubishi Electric</x:v>
      </x:c>
      <x:c r="C14" s="19" t="str">
        <x:v>激光器</x:v>
      </x:c>
      <x:c r="D14" s="19" t="str">
        <x:v>EML/DFB</x:v>
      </x:c>
      <x:c r="E14" s="19" t="str">
        <x:v>EML、CW</x:v>
      </x:c>
      <x:c r="F14" s="19" t="str">
        <x:v>通用生态名单</x:v>
      </x:c>
      <x:c r="G14" s="19" t="str">
        <x:v>S20</x:v>
      </x:c>
    </x:row>
    <x:row r="15" ht="15" hidden="0" customHeight="1">
      <x:c r="A15" s="19" t="str">
        <x:v>V011</x:v>
      </x:c>
      <x:c r="B15" s="19" t="str">
        <x:v>Sumitomo Electric</x:v>
      </x:c>
      <x:c r="C15" s="19" t="str">
        <x:v>激光器/光器件</x:v>
      </x:c>
      <x:c r="D15" s="19" t="str">
        <x:v>EML、连接与光纤生态</x:v>
      </x:c>
      <x:c r="E15" s="19" t="str">
        <x:v>EML、CW</x:v>
      </x:c>
      <x:c r="F15" s="19" t="str">
        <x:v>通用生态名单</x:v>
      </x:c>
      <x:c r="G15" s="19" t="str">
        <x:v>S20;S23</x:v>
      </x:c>
    </x:row>
    <x:row r="16" ht="15" hidden="0" customHeight="1">
      <x:c r="A16" s="19" t="str">
        <x:v>V012</x:v>
      </x:c>
      <x:c r="B16" s="19" t="str">
        <x:v>US Conec</x:v>
      </x:c>
      <x:c r="C16" s="19" t="str">
        <x:v>多芯连接器</x:v>
      </x:c>
      <x:c r="D16" s="19" t="str">
        <x:v>MPO/MTP、MT Ferrule</x:v>
      </x:c>
      <x:c r="E16" s="19" t="str">
        <x:v>MPO12/MPO16</x:v>
      </x:c>
      <x:c r="F16" s="19" t="str">
        <x:v>产品结构证据，不代表模块供应关系</x:v>
      </x:c>
      <x:c r="G16" s="19" t="str">
        <x:v>S23</x:v>
      </x:c>
    </x:row>
    <x:row r="17" ht="15" hidden="0" customHeight="1">
      <x:c r="A17" s="19" t="str">
        <x:v>V013</x:v>
      </x:c>
      <x:c r="B17" s="19" t="str">
        <x:v>Senko</x:v>
      </x:c>
      <x:c r="C17" s="19" t="str">
        <x:v>连接器</x:v>
      </x:c>
      <x:c r="D17" s="19" t="str">
        <x:v>MPO、LC、SN等</x:v>
      </x:c>
      <x:c r="E17" s="19" t="str">
        <x:v>并行光与VSFF</x:v>
      </x:c>
      <x:c r="F17" s="19" t="str">
        <x:v>产品结构证据</x:v>
      </x:c>
      <x:c r="G17" s="19" t="str">
        <x:v>S23</x:v>
      </x:c>
    </x:row>
    <x:row r="18" ht="15" hidden="0" customHeight="1">
      <x:c r="A18" s="19" t="str">
        <x:v>V014</x:v>
      </x:c>
      <x:c r="B18" s="19" t="str">
        <x:v>Corning</x:v>
      </x:c>
      <x:c r="C18" s="19" t="str">
        <x:v>光纤/连接</x:v>
      </x:c>
      <x:c r="D18" s="19" t="str">
        <x:v>SMF/MMF、MTP连接生态与高密度FAU</x:v>
      </x:c>
      <x:c r="E18" s="19" t="str">
        <x:v>SR、DR、FR、LR、SiPh、CPO</x:v>
      </x:c>
      <x:c r="F18" s="19" t="str">
        <x:v>官网可确认FAU和光纤能力，客户与成交价未披露</x:v>
      </x:c>
      <x:c r="G18" s="19" t="str">
        <x:v>S23;S41</x:v>
      </x:c>
    </x:row>
    <x:row r="19" ht="15" hidden="0" customHeight="1">
      <x:c r="A19" s="19" t="str">
        <x:v>V015</x:v>
      </x:c>
      <x:c r="B19" s="19" t="str">
        <x:v>天孚通信</x:v>
      </x:c>
      <x:c r="C19" s="19" t="str">
        <x:v>无源光学/封装</x:v>
      </x:c>
      <x:c r="D19" s="19" t="str">
        <x:v>透镜、FAU、耦合与封装生态</x:v>
      </x:c>
      <x:c r="E19" s="19" t="str">
        <x:v>并行光、SiPh</x:v>
      </x:c>
      <x:c r="F19" s="19" t="str">
        <x:v>通用产业链映射，未证明特定SKU份额</x:v>
      </x:c>
      <x:c r="G19" s="19" t="str">
        <x:v>S08;S14</x:v>
      </x:c>
    </x:row>
    <x:row r="20" ht="15" hidden="0" customHeight="1">
      <x:c r="A20" s="19" t="str">
        <x:v>V016</x:v>
      </x:c>
      <x:c r="B20" s="19" t="str">
        <x:v>SiFotonics 希烽光电</x:v>
      </x:c>
      <x:c r="C20" s="19" t="str">
        <x:v>PD/PIC生态</x:v>
      </x:c>
      <x:c r="D20" s="19" t="str">
        <x:v>Ge/Si和III-V光电探测器公开路线</x:v>
      </x:c>
      <x:c r="E20" s="19" t="str">
        <x:v>SiPh、分立PD</x:v>
      </x:c>
      <x:c r="F20" s="19" t="str">
        <x:v>公开技术路线不能推断订单、份额或客户</x:v>
      </x:c>
      <x:c r="G20" s="19" t="str">
        <x:v>S22</x:v>
      </x:c>
    </x:row>
    <x:row r="21" ht="24" hidden="0" customHeight="1">
      <x:c r="A21" s="19" t="str">
        <x:v>V017</x:v>
      </x:c>
      <x:c r="B21" s="19" t="str">
        <x:v>Intel</x:v>
      </x:c>
      <x:c r="C21" s="19" t="str">
        <x:v>SiPh PIC/历史可插拔产品</x:v>
      </x:c>
      <x:c r="D21" s="19" t="str">
        <x:v>400G DR4 QSFP-DD与片上激光SiPh平台</x:v>
      </x:c>
      <x:c r="E21" s="19" t="str">
        <x:v>SiPh、集成CW激光</x:v>
      </x:c>
      <x:c r="F21" s="19" t="str">
        <x:v>产品状态页面存在Launched与Retired/Discontinued冲突，需按当前供货另核</x:v>
      </x:c>
      <x:c r="G21" s="19" t="str">
        <x:v>S27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8cbc9a3af954e1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11000061035156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12.220000267028809" hidden="0" customWidth="1"/>
    <x:col min="8" max="8" width="6" hidden="0" customWidth="1"/>
  </x:cols>
  <x:sheetData>
    <x:row r="1" ht="21.600000381469727" hidden="0" customHeight="1">
      <x:c r="A1" s="4" t="str">
        <x:v>口径说明与使用边界</x:v>
      </x:c>
      <x:c r="B1" s="4" t="str">
        <x:v>口径说明与使用边界</x:v>
      </x:c>
      <x:c r="C1" s="4" t="str">
        <x:v>口径说明与使用边界</x:v>
      </x:c>
      <x:c r="D1" s="4" t="str">
        <x:v>口径说明与使用边界</x:v>
      </x:c>
      <x:c r="E1" s="4" t="str">
        <x:v>口径说明与使用边界</x:v>
      </x:c>
      <x:c r="F1" s="4" t="str">
        <x:v>口径说明与使用边界</x:v>
      </x:c>
      <x:c r="G1" s="4" t="str">
        <x:v>口径说明与使用边界</x:v>
      </x:c>
      <x:c r="H1" s="4" t="str">
        <x:v>口径说明与使用边界</x:v>
      </x:c>
    </x:row>
    <x:row r="2" ht="15" hidden="0" customHeight="1">
      <x:c r="A2" s="7" t="str">
        <x:v>本表是HTML可视化的数据底稿v1，优先保证字段可追溯和结构可扩展，不追求伪精确的器件采购价</x:v>
      </x:c>
      <x:c r="B2" s="7" t="str">
        <x:v>本表是HTML可视化的数据底稿v1，优先保证字段可追溯和结构可扩展，不追求伪精确的器件采购价</x:v>
      </x:c>
      <x:c r="C2" s="7" t="str">
        <x:v>本表是HTML可视化的数据底稿v1，优先保证字段可追溯和结构可扩展，不追求伪精确的器件采购价</x:v>
      </x:c>
      <x:c r="D2" s="7" t="str">
        <x:v>本表是HTML可视化的数据底稿v1，优先保证字段可追溯和结构可扩展，不追求伪精确的器件采购价</x:v>
      </x:c>
      <x:c r="E2" s="7" t="str">
        <x:v>本表是HTML可视化的数据底稿v1，优先保证字段可追溯和结构可扩展，不追求伪精确的器件采购价</x:v>
      </x:c>
      <x:c r="F2" s="7" t="str">
        <x:v>本表是HTML可视化的数据底稿v1，优先保证字段可追溯和结构可扩展，不追求伪精确的器件采购价</x:v>
      </x:c>
      <x:c r="G2" s="7" t="str">
        <x:v>本表是HTML可视化的数据底稿v1，优先保证字段可追溯和结构可扩展，不追求伪精确的器件采购价</x:v>
      </x:c>
      <x:c r="H2" s="7" t="str">
        <x:v>本表是HTML可视化的数据底稿v1，优先保证字段可追溯和结构可扩展，不追求伪精确的器件采购价</x:v>
      </x:c>
    </x:row>
    <x:row r="3" ht="15" hidden="0" customHeight="1">
      <x:c r="A3" s="21" t="str">
        <x:v>← 返回‘00_型号选择器’工作表</x:v>
      </x:c>
    </x:row>
    <x:row r="4" ht="15" hidden="0" customHeight="1">
      <x:c r="A4" s="13" t="str">
        <x:v>主题</x:v>
      </x:c>
      <x:c r="B4" s="13" t="str">
        <x:v>当前口径</x:v>
      </x:c>
      <x:c r="C4" s="13" t="str">
        <x:v>为什么这样做</x:v>
      </x:c>
      <x:c r="D4" s="13" t="str">
        <x:v>优势</x:v>
      </x:c>
      <x:c r="E4" s="13" t="str">
        <x:v>局限/常见误判</x:v>
      </x:c>
      <x:c r="F4" s="13" t="str">
        <x:v>HTML阶段如何使用</x:v>
      </x:c>
      <x:c r="G4" s="13" t="str">
        <x:v>责任字段</x:v>
      </x:c>
      <x:c r="H4" s="13" t="str">
        <x:v>状态</x:v>
      </x:c>
    </x:row>
    <x:row r="5" ht="24" hidden="0" customHeight="1">
      <x:c r="A5" s="19" t="str">
        <x:v>型号唯一性</x:v>
      </x:c>
      <x:c r="B5" s="19" t="str">
        <x:v>Variant_ID由速率、形态、PMD、通道、电架构和光源共同定义</x:v>
      </x:c>
      <x:c r="C5" s="19" t="str">
        <x:v>同为800G，8×100G→4×200G和4×200G→4×200G内部结构不同</x:v>
      </x:c>
      <x:c r="D5" s="19" t="str">
        <x:v>避免速率标签掩盖BOM差异</x:v>
      </x:c>
      <x:c r="E5" s="19" t="str">
        <x:v>厂商页面缺字段时仍可能无法唯一确定</x:v>
      </x:c>
      <x:c r="F5" s="19" t="str">
        <x:v>作为URL/组件树主键</x:v>
      </x:c>
      <x:c r="G5" s="19" t="str">
        <x:v>01_架构总表.A</x:v>
      </x:c>
      <x:c r="H5" s="19" t="str">
        <x:v>已实施</x:v>
      </x:c>
    </x:row>
    <x:row r="6" ht="15" hidden="0" customHeight="1">
      <x:c r="A6" s="19" t="str">
        <x:v>Host vs Optical</x:v>
      </x:c>
      <x:c r="B6" s="19" t="str">
        <x:v>分开记录主机侧电通道与光侧通道</x:v>
      </x:c>
      <x:c r="C6" s="19" t="str">
        <x:v>gearbox只在两侧lane组织不同时出现</x:v>
      </x:c>
      <x:c r="D6" s="19" t="str">
        <x:v>可解释DSP、驱动、PD和光纤数量变化</x:v>
      </x:c>
      <x:c r="E6" s="19" t="str">
        <x:v>不能从总速率倒推出lane</x:v>
      </x:c>
      <x:c r="F6" s="19" t="str">
        <x:v>切换界面先选Host再选Optical</x:v>
      </x:c>
      <x:c r="G6" s="19" t="str">
        <x:v>01_架构总表.G-M</x:v>
      </x:c>
      <x:c r="H6" s="19" t="str">
        <x:v>已实施</x:v>
      </x:c>
    </x:row>
    <x:row r="7" ht="24" hidden="0" customHeight="1">
      <x:c r="A7" s="19" t="str">
        <x:v>VCSEL/EML/CW</x:v>
      </x:c>
      <x:c r="B7" s="19" t="str">
        <x:v>VCSEL、DML、EML、CW+SiPh分开建模</x:v>
      </x:c>
      <x:c r="C7" s="19" t="str">
        <x:v>它们的发光方向、调制方式、PD材料、耦合和热设计不同</x:v>
      </x:c>
      <x:c r="D7" s="19" t="str">
        <x:v>器件树可下钻到微结构</x:v>
      </x:c>
      <x:c r="E7" s="19" t="str">
        <x:v>同一技术名下仍有多种工艺实现</x:v>
      </x:c>
      <x:c r="F7" s="19" t="str">
        <x:v>按光源路线加载不同SVG与器件节点</x:v>
      </x:c>
      <x:c r="G7" s="19" t="str">
        <x:v>01_架构总表.T-U</x:v>
      </x:c>
      <x:c r="H7" s="19" t="str">
        <x:v>已实施</x:v>
      </x:c>
    </x:row>
    <x:row r="8" ht="15" hidden="0" customHeight="1">
      <x:c r="A8" s="19" t="str">
        <x:v>Retimed/LPO/LRO/RTLR</x:v>
      </x:c>
      <x:c r="B8" s="19" t="str">
        <x:v>作为独立电架构字段</x:v>
      </x:c>
      <x:c r="C8" s="19" t="str">
        <x:v>是否有模块DSP直接影响功耗、成本和互操作责任</x:v>
      </x:c>
      <x:c r="D8" s="19" t="str">
        <x:v>支持价格和风险分层</x:v>
      </x:c>
      <x:c r="E8" s="19" t="str">
        <x:v>LRO/RTLR定义需以厂商实现为准</x:v>
      </x:c>
      <x:c r="F8" s="19" t="str">
        <x:v>切换后替换DSP/CDR节点和说明</x:v>
      </x:c>
      <x:c r="G8" s="19" t="str">
        <x:v>01_架构总表.V-W</x:v>
      </x:c>
      <x:c r="H8" s="19" t="str">
        <x:v>已实施</x:v>
      </x:c>
    </x:row>
    <x:row r="9" ht="24" hidden="0" customHeight="1">
      <x:c r="A9" s="19" t="str">
        <x:v>CPO</x:v>
      </x:c>
      <x:c r="B9" s="19" t="str">
        <x:v>与可插拔模块分开，不套用同一ASP</x:v>
      </x:c>
      <x:c r="C9" s="19" t="str">
        <x:v>CPO的成本对象可能是光引擎、CPO module、激光源或系统增量</x:v>
      </x:c>
      <x:c r="D9" s="19" t="str">
        <x:v>避免错误价格比较</x:v>
      </x:c>
      <x:c r="E9" s="19" t="str">
        <x:v>公开单价稀缺，TCO需另建系统模型</x:v>
      </x:c>
      <x:c r="F9" s="19" t="str">
        <x:v>HTML显示成本口径选择器</x:v>
      </x:c>
      <x:c r="G9" s="19" t="str">
        <x:v>05_价格模型</x:v>
      </x:c>
      <x:c r="H9" s="19" t="str">
        <x:v>已实施</x:v>
      </x:c>
    </x:row>
    <x:row r="10" ht="24" hidden="0" customHeight="1">
      <x:c r="A10" s="19" t="str">
        <x:v>价格</x:v>
      </x:c>
      <x:c r="B10" s="19" t="str">
        <x:v>2026E点位来自LightCounting图表近似读取；低高端为85%/115%可调情景</x:v>
      </x:c>
      <x:c r="C10" s="19" t="str">
        <x:v>市场ASP、渠道零售价和OEM成交价不是同一口径</x:v>
      </x:c>
      <x:c r="D10" s="19" t="str">
        <x:v>保留来源与可调假设</x:v>
      </x:c>
      <x:c r="E10" s="19" t="str">
        <x:v>图表人工读取存在读数误差；LPO/CPO多为RFQ</x:v>
      </x:c>
      <x:c r="F10" s="19" t="str">
        <x:v>显示点位、区间、依据和置信度</x:v>
      </x:c>
      <x:c r="G10" s="19" t="str">
        <x:v>05_价格模型</x:v>
      </x:c>
      <x:c r="H10" s="19" t="str">
        <x:v>已实施</x:v>
      </x:c>
    </x:row>
    <x:row r="11" ht="15" hidden="0" customHeight="1">
      <x:c r="A11" s="19" t="str">
        <x:v>BOM数量</x:v>
      </x:c>
      <x:c r="B11" s="19" t="str">
        <x:v>优先表示功能通道或组件组数</x:v>
      </x:c>
      <x:c r="C11" s="19" t="str">
        <x:v>公开资料通常不披露精确die/package数量</x:v>
      </x:c>
      <x:c r="D11" s="19" t="str">
        <x:v>能解释结构关系且不捏造颗数</x:v>
      </x:c>
      <x:c r="E11" s="19" t="str">
        <x:v>不能直接当采购BOM核价</x:v>
      </x:c>
      <x:c r="F11" s="19" t="str">
        <x:v>节点数量标签注明‘通道/组’</x:v>
      </x:c>
      <x:c r="G11" s="19" t="str">
        <x:v>03_BOM映射</x:v>
      </x:c>
      <x:c r="H11" s="19" t="str">
        <x:v>已实施</x:v>
      </x:c>
    </x:row>
    <x:row r="12" ht="15" hidden="0" customHeight="1">
      <x:c r="A12" s="19" t="str">
        <x:v>厂商</x:v>
      </x:c>
      <x:c r="B12" s="19" t="str">
        <x:v>列主要生态参与者，不推定具体供应关系</x:v>
      </x:c>
      <x:c r="C12" s="19" t="str">
        <x:v>通用技术能力不能证明客户、份额和订单</x:v>
      </x:c>
      <x:c r="D12" s="19" t="str">
        <x:v>避免投研证据越界</x:v>
      </x:c>
      <x:c r="E12" s="19" t="str">
        <x:v>若需要SKU供应链需拆解实物/公司公告/访谈证据</x:v>
      </x:c>
      <x:c r="F12" s="19" t="str">
        <x:v>厂商卡片显示‘生态示例’</x:v>
      </x:c>
      <x:c r="G12" s="19" t="str">
        <x:v>06_厂商库</x:v>
      </x:c>
      <x:c r="H12" s="19" t="str">
        <x:v>已实施</x:v>
      </x:c>
    </x:row>
    <x:row r="13" ht="24" hidden="0" customHeight="1">
      <x:c r="A13" s="19" t="str">
        <x:v>图片</x:v>
      </x:c>
      <x:c r="B13" s="19" t="str">
        <x:v>本版Excel不嵌入私密原件和付费图表</x:v>
      </x:c>
      <x:c r="C13" s="19" t="str">
        <x:v>HTML后续可使用官方产品图、标准图或自绘结构图并保留许可信息</x:v>
      </x:c>
      <x:c r="D13" s="19" t="str">
        <x:v>降低版权和保密风险</x:v>
      </x:c>
      <x:c r="E13" s="19" t="str">
        <x:v>实物外观仍需后续图库</x:v>
      </x:c>
      <x:c r="F13" s="19" t="str">
        <x:v>图片资产表在HTML阶段新增</x:v>
      </x:c>
      <x:c r="G13" s="19" t="str">
        <x:v>09_来源与审计</x:v>
      </x:c>
      <x:c r="H13" s="19" t="str">
        <x:v>待HTML</x:v>
      </x:c>
    </x:row>
    <x:row r="14" ht="24" hidden="0" customHeight="1">
      <x:c r="A14" s="19" t="str">
        <x:v>数据更新</x:v>
      </x:c>
      <x:c r="B14" s="19" t="str">
        <x:v>每个字段保留Source_ID、Evidence Type、Issue Flag</x:v>
      </x:c>
      <x:c r="C14" s="19" t="str">
        <x:v>行业规格和产品页会更新</x:v>
      </x:c>
      <x:c r="D14" s="19" t="str">
        <x:v>便于增量维护</x:v>
      </x:c>
      <x:c r="E14" s="19" t="str">
        <x:v>厂商网页可能改版或下线</x:v>
      </x:c>
      <x:c r="F14" s="19" t="str">
        <x:v>HTML显示‘最后核验日’</x:v>
      </x:c>
      <x:c r="G14" s="19" t="str">
        <x:v>01/08</x:v>
      </x:c>
      <x:c r="H14" s="19" t="str">
        <x:v>已实施</x:v>
      </x:c>
    </x:row>
    <x:row r="15" ht="48" customHeight="1">
      <x:c r="A15" s="82" t="str">
        <x:v>价格与供应商展示规则</x:v>
      </x:c>
      <x:c r="B15" s="82" t="str">
        <x:v>价格分为公开目录价、行业建模区间、包含在上级器件成本三种口径；建模区间用于结构学习与BOM情景，不代表OEM合同价；集成于die/PIC/PCB的微结构不重复计价；主要厂商表示公开供应生态，不等于该型号定点供应商</x:v>
      </x:c>
      <x:c r="C15" s="82"/>
      <x:c r="D15" s="82"/>
      <x:c r="E15" s="82"/>
      <x:c r="F15" s="82"/>
      <x:c r="G15" s="82"/>
      <x:c r="H15" s="82"/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6" hidden="0" customWidth="1"/>
    <x:col min="7" max="7" width="16" hidden="0" customWidth="1"/>
    <x:col min="8" max="8" width="3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29" hidden="0" customWidth="1"/>
  </x:cols>
  <x:sheetData>
    <x:row r="1" ht="32" customHeight="1">
      <x:c r="A1" s="4" t="str">
        <x:v>下拉选项与Named Range</x:v>
      </x:c>
      <x:c r="B1" s="4" t="str">
        <x:v>下拉选项与Named Range</x:v>
      </x:c>
      <x:c r="C1" s="4" t="str">
        <x:v>下拉选项与Named Range</x:v>
      </x:c>
      <x:c r="D1" s="4" t="str">
        <x:v>下拉选项与Named Range</x:v>
      </x:c>
      <x:c r="E1" s="4" t="str">
        <x:v>下拉选项与Named Range</x:v>
      </x:c>
      <x:c r="F1" s="4" t="str">
        <x:v>下拉选项与Named Range</x:v>
      </x:c>
      <x:c r="G1" s="4" t="str">
        <x:v>下拉选项与Named Range</x:v>
      </x:c>
      <x:c r="H1" s="4" t="str">
        <x:v>下拉选项与Named Range</x:v>
      </x:c>
      <x:c r="I1" s="4" t="str">
        <x:v>下拉选项与Named Range</x:v>
      </x:c>
      <x:c r="J1" s="4" t="str">
        <x:v>下拉选项与Named Range</x:v>
      </x:c>
      <x:c r="K1" s="4" t="str">
        <x:v>下拉选项与Named Range</x:v>
      </x:c>
      <x:c r="L1" s="4" t="str">
        <x:v>下拉选项与Named Range</x:v>
      </x:c>
      <x:c r="M1" s="4" t="str">
        <x:v>下拉选项与Named Range</x:v>
      </x:c>
    </x:row>
    <x:row r="2" ht="28" customHeight="1">
      <x:c r="A2" s="7" t="str">
        <x:v>选择器的枚举项集中维护，避免Excel内嵌下拉列表255字符限制；新增型号时同步扩展Named Range</x:v>
      </x:c>
      <x:c r="B2" s="7" t="str">
        <x:v>选择器的枚举项集中维护，避免Excel内嵌下拉列表255字符限制；新增型号时同步扩展Named Range</x:v>
      </x:c>
      <x:c r="C2" s="7" t="str">
        <x:v>选择器的枚举项集中维护，避免Excel内嵌下拉列表255字符限制；新增型号时同步扩展Named Range</x:v>
      </x:c>
      <x:c r="D2" s="7" t="str">
        <x:v>选择器的枚举项集中维护，避免Excel内嵌下拉列表255字符限制；新增型号时同步扩展Named Range</x:v>
      </x:c>
      <x:c r="E2" s="7" t="str">
        <x:v>选择器的枚举项集中维护，避免Excel内嵌下拉列表255字符限制；新增型号时同步扩展Named Range</x:v>
      </x:c>
      <x:c r="F2" s="7" t="str">
        <x:v>选择器的枚举项集中维护，避免Excel内嵌下拉列表255字符限制；新增型号时同步扩展Named Range</x:v>
      </x:c>
      <x:c r="G2" s="7" t="str">
        <x:v>选择器的枚举项集中维护，避免Excel内嵌下拉列表255字符限制；新增型号时同步扩展Named Range</x:v>
      </x:c>
      <x:c r="H2" s="7" t="str">
        <x:v>选择器的枚举项集中维护，避免Excel内嵌下拉列表255字符限制；新增型号时同步扩展Named Range</x:v>
      </x:c>
      <x:c r="I2" s="7" t="str">
        <x:v>选择器的枚举项集中维护，避免Excel内嵌下拉列表255字符限制；新增型号时同步扩展Named Range</x:v>
      </x:c>
      <x:c r="J2" s="7" t="str">
        <x:v>选择器的枚举项集中维护，避免Excel内嵌下拉列表255字符限制；新增型号时同步扩展Named Range</x:v>
      </x:c>
      <x:c r="K2" s="7" t="str">
        <x:v>选择器的枚举项集中维护，避免Excel内嵌下拉列表255字符限制；新增型号时同步扩展Named Range</x:v>
      </x:c>
      <x:c r="L2" s="7" t="str">
        <x:v>选择器的枚举项集中维护，避免Excel内嵌下拉列表255字符限制；新增型号时同步扩展Named Range</x:v>
      </x:c>
      <x:c r="M2" s="7" t="str">
        <x:v>选择器的枚举项集中维护，避免Excel内嵌下拉列表255字符限制；新增型号时同步扩展Named Range</x:v>
      </x:c>
    </x:row>
    <x:row r="3">
      <x:c r="A3" s="21" t="str">
        <x:v>← 返回‘00_型号选择器’工作表</x:v>
      </x:c>
    </x:row>
    <x:row r="4">
      <x:c r="A4" s="13" t="str">
        <x:v>总速率</x:v>
      </x:c>
      <x:c r="B4" s="13" t="str">
        <x:v>Host lanes</x:v>
      </x:c>
      <x:c r="C4" s="13" t="str">
        <x:v>Optical lanes</x:v>
      </x:c>
      <x:c r="D4" s="13" t="str">
        <x:v>PMD/Reach</x:v>
      </x:c>
      <x:c r="E4" s="13" t="str">
        <x:v>Form Factor</x:v>
      </x:c>
      <x:c r="F4" s="13" t="str">
        <x:v>光源/调制</x:v>
      </x:c>
      <x:c r="G4" s="13" t="str">
        <x:v>电架构</x:v>
      </x:c>
      <x:c r="H4" s="13" t="str">
        <x:v>Connector</x:v>
      </x:c>
      <x:c r="I4" s="13" t="str">
        <x:v>成熟度</x:v>
      </x:c>
      <x:c r="J4" s="13" t="str">
        <x:v>证据属性</x:v>
      </x:c>
      <x:c r="K4" s="13" t="str">
        <x:v>Issue Flag</x:v>
      </x:c>
      <x:c r="L4" s="13" t="str">
        <x:v>价格状态</x:v>
      </x:c>
      <x:c r="M4" s="13" t="str">
        <x:v>Variant_ID</x:v>
      </x:c>
    </x:row>
    <x:row r="5">
      <x:c r="A5" s="29" t="str">
        <x:v>全部</x:v>
      </x:c>
      <x:c r="B5" s="29" t="str">
        <x:v>全部</x:v>
      </x:c>
      <x:c r="C5" s="29" t="str">
        <x:v>全部</x:v>
      </x:c>
      <x:c r="D5" s="29" t="str">
        <x:v>全部</x:v>
      </x:c>
      <x:c r="E5" s="29" t="str">
        <x:v>全部</x:v>
      </x:c>
      <x:c r="F5" s="29" t="str">
        <x:v>全部</x:v>
      </x:c>
      <x:c r="G5" s="29" t="str">
        <x:v>全部</x:v>
      </x:c>
      <x:c r="H5" s="29" t="str">
        <x:v>全部</x:v>
      </x:c>
      <x:c r="I5" s="29" t="str">
        <x:v>全部</x:v>
      </x:c>
      <x:c r="J5" s="29" t="str">
        <x:v>全部</x:v>
      </x:c>
      <x:c r="K5" s="29" t="str">
        <x:v>全部</x:v>
      </x:c>
      <x:c r="L5" s="29" t="str">
        <x:v>全部</x:v>
      </x:c>
      <x:c r="M5" s="29" t="str">
        <x:v>400-QDD-LR4-8E4O-EML</x:v>
      </x:c>
    </x:row>
    <x:row r="6">
      <x:c r="A6" s="29" t="str">
        <x:v>1.6T</x:v>
      </x:c>
      <x:c r="B6" s="29" t="str">
        <x:v>32×112G XSR</x:v>
      </x:c>
      <x:c r="C6" s="29" t="str">
        <x:v>32×100G</x:v>
      </x:c>
      <x:c r="D6" s="29" t="str">
        <x:v>2×DR4/500m</x:v>
      </x:c>
      <x:c r="E6" s="29" t="str">
        <x:v>CPO Module</x:v>
      </x:c>
      <x:c r="F6" s="29" t="str">
        <x:v>CW laser+SiPh</x:v>
      </x:c>
      <x:c r="G6" s="29" t="str">
        <x:v>CPO</x:v>
      </x:c>
      <x:c r="H6" s="29" t="str">
        <x:v>Dual LC</x:v>
      </x:c>
      <x:c r="I6" s="29" t="str">
        <x:v>Roadmap</x:v>
      </x:c>
      <x:c r="J6" s="29" t="str">
        <x:v>互操作演示</x:v>
      </x:c>
      <x:c r="K6" s="29" t="str">
        <x:v>无Issue</x:v>
      </x:c>
      <x:c r="L6" s="29" t="str">
        <x:v>有ASP</x:v>
      </x:c>
      <x:c r="M6" s="29" t="str">
        <x:v>400-QDD-FR4-8E4O-EML</x:v>
      </x:c>
    </x:row>
    <x:row r="7">
      <x:c r="A7" s="29" t="str">
        <x:v>3.2T</x:v>
      </x:c>
      <x:c r="B7" s="29" t="str">
        <x:v>4×100G</x:v>
      </x:c>
      <x:c r="C7" s="29" t="str">
        <x:v>4×100G</x:v>
      </x:c>
      <x:c r="D7" s="29" t="str">
        <x:v>2×FR4/2km</x:v>
      </x:c>
      <x:c r="E7" s="29" t="str">
        <x:v>OSFP</x:v>
      </x:c>
      <x:c r="F7" s="29" t="str">
        <x:v>CW laser+SiPh MZM</x:v>
      </x:c>
      <x:c r="G7" s="29" t="str">
        <x:v>LPO</x:v>
      </x:c>
      <x:c r="H7" s="29" t="str">
        <x:v>Dual MPO12</x:v>
      </x:c>
      <x:c r="I7" s="29" t="str">
        <x:v>互操作演示</x:v>
      </x:c>
      <x:c r="J7" s="29" t="str">
        <x:v>公开产品</x:v>
      </x:c>
      <x:c r="K7" s="29" t="str">
        <x:v>有Issue</x:v>
      </x:c>
      <x:c r="L7" s="29" t="str">
        <x:v>需RFQ/无可比价</x:v>
      </x:c>
      <x:c r="M7" s="29" t="str">
        <x:v>400-QDD-DR4-8E4O-EML</x:v>
      </x:c>
    </x:row>
    <x:row r="8">
      <x:c r="A8" s="29" t="str">
        <x:v>400G</x:v>
      </x:c>
      <x:c r="B8" s="29" t="str">
        <x:v>4×200G</x:v>
      </x:c>
      <x:c r="C8" s="29" t="str">
        <x:v>4×200G</x:v>
      </x:c>
      <x:c r="D8" s="29" t="str">
        <x:v>2×LR4/10km</x:v>
      </x:c>
      <x:c r="E8" s="29" t="str">
        <x:v>OSFP-XD</x:v>
      </x:c>
      <x:c r="F8" s="29" t="str">
        <x:v>Differential EML</x:v>
      </x:c>
      <x:c r="G8" s="29" t="str">
        <x:v>LRO</x:v>
      </x:c>
      <x:c r="H8" s="29" t="str">
        <x:v>IA未规定线路侧连接器；32 Tx/Rx fiber pairs</x:v>
      </x:c>
      <x:c r="I8" s="29" t="str">
        <x:v>产品导入</x:v>
      </x:c>
      <x:c r="J8" s="29" t="str">
        <x:v>公开产品/状态冲突</x:v>
      </x:c>
      <x:c r="M8" s="29" t="str">
        <x:v>400-QDD-SR42-8E8O-VCSEL</x:v>
      </x:c>
    </x:row>
    <x:row r="9">
      <x:c r="A9" s="29" t="str">
        <x:v>800G</x:v>
      </x:c>
      <x:c r="B9" s="29" t="str">
        <x:v>8×100G</x:v>
      </x:c>
      <x:c r="C9" s="29" t="str">
        <x:v>8×100G</x:v>
      </x:c>
      <x:c r="D9" s="29" t="str">
        <x:v>8×400G-DR4</x:v>
      </x:c>
      <x:c r="E9" s="29" t="str">
        <x:v>OSFP112</x:v>
      </x:c>
      <x:c r="F9" s="29" t="str">
        <x:v>ELSFP+SiPh</x:v>
      </x:c>
      <x:c r="G9" s="29" t="str">
        <x:v>RTLR</x:v>
      </x:c>
      <x:c r="H9" s="29" t="str">
        <x:v>IA未规定线路侧连接器；8 Tx/Rx fiber pairs</x:v>
      </x:c>
      <x:c r="I9" s="29" t="str">
        <x:v>产品系列</x:v>
      </x:c>
      <x:c r="J9" s="29" t="str">
        <x:v>公开产品手册</x:v>
      </x:c>
      <x:c r="M9" s="29" t="str">
        <x:v>400-QDD-SR8-8E8O-VCSEL</x:v>
      </x:c>
    </x:row>
    <x:row r="10">
      <x:c r="B10" s="29" t="str">
        <x:v>8×200G</x:v>
      </x:c>
      <x:c r="C10" s="29" t="str">
        <x:v>8×200G</x:v>
      </x:c>
      <x:c r="D10" s="29" t="str">
        <x:v>8×400G-FR4</x:v>
      </x:c>
      <x:c r="E10" s="29" t="str">
        <x:v>OSFP224</x:v>
      </x:c>
      <x:c r="F10" s="29" t="str">
        <x:v>EML</x:v>
      </x:c>
      <x:c r="G10" s="29" t="str">
        <x:v>Retimed</x:v>
      </x:c>
      <x:c r="H10" s="29" t="str">
        <x:v>IA未规定线路侧连接器；ELS输入4 PM fibers</x:v>
      </x:c>
      <x:c r="I10" s="29" t="str">
        <x:v>历史量产/状态需核</x:v>
      </x:c>
      <x:c r="J10" s="29" t="str">
        <x:v>公开产品系列</x:v>
      </x:c>
      <x:c r="M10" s="29" t="str">
        <x:v>400-Q112-VR4-4E4O-VCSEL</x:v>
      </x:c>
    </x:row>
    <x:row r="11">
      <x:c r="B11" s="29" t="str">
        <x:v>8×50G</x:v>
      </x:c>
      <x:c r="C11" s="29" t="str">
        <x:v>8×50G</x:v>
      </x:c>
      <x:c r="D11" s="29" t="str">
        <x:v>AOC/100m</x:v>
      </x:c>
      <x:c r="E11" s="29" t="str">
        <x:v>OSFP224 AOC</x:v>
      </x:c>
      <x:c r="F11" s="29" t="str">
        <x:v>Integrated CW laser+SiPh</x:v>
      </x:c>
      <x:c r="G11" s="29" t="str">
        <x:v>Retimed/厂商方案</x:v>
      </x:c>
      <x:c r="H11" s="29" t="str">
        <x:v>IA未规定线路侧连接器；ELS输入8 PM fibers</x:v>
      </x:c>
      <x:c r="I11" s="29" t="str">
        <x:v>导入</x:v>
      </x:c>
      <x:c r="J11" s="29" t="str">
        <x:v>公开产品页</x:v>
      </x:c>
      <x:c r="M11" s="29" t="str">
        <x:v>400-O112-DR4-4E4O-EML</x:v>
      </x:c>
    </x:row>
    <x:row r="12">
      <x:c r="B12" s="29" t="str">
        <x:v>TBD</x:v>
      </x:c>
      <x:c r="C12" s="29" t="str">
        <x:v>TBD</x:v>
      </x:c>
      <x:c r="D12" s="29" t="str">
        <x:v>AOC/短距</x:v>
      </x:c>
      <x:c r="E12" s="29" t="str">
        <x:v>QSFP-DD</x:v>
      </x:c>
      <x:c r="F12" s="29" t="str">
        <x:v>SiPh optical engine</x:v>
      </x:c>
      <x:c r="H12" s="29" t="str">
        <x:v>LC</x:v>
      </x:c>
      <x:c r="I12" s="29" t="str">
        <x:v>导入/量产</x:v>
      </x:c>
      <x:c r="J12" s="29" t="str">
        <x:v>公开演示/产品路线</x:v>
      </x:c>
      <x:c r="M12" s="29" t="str">
        <x:v>400-QDD-AOC-8E8O-VCSEL</x:v>
      </x:c>
    </x:row>
    <x:row r="13">
      <x:c r="D13" s="29" t="str">
        <x:v>DR roadmap</x:v>
      </x:c>
      <x:c r="E13" s="29" t="str">
        <x:v>QSFP-DD AOC</x:v>
      </x:c>
      <x:c r="F13" s="29" t="str">
        <x:v>VCSEL</x:v>
      </x:c>
      <x:c r="H13" s="29" t="str">
        <x:v>MPO</x:v>
      </x:c>
      <x:c r="I13" s="29" t="str">
        <x:v>标准化架构</x:v>
      </x:c>
      <x:c r="J13" s="29" t="str">
        <x:v>形态能力+行业预测</x:v>
      </x:c>
      <x:c r="M13" s="29" t="str">
        <x:v>400-QDD-DR4-8E4O-SIPH-INTEL</x:v>
      </x:c>
    </x:row>
    <x:row r="14">
      <x:c r="D14" s="29" t="str">
        <x:v>DR4/500m</x:v>
      </x:c>
      <x:c r="E14" s="29" t="str">
        <x:v>QSFP-DD800</x:v>
      </x:c>
      <x:c r="F14" s="29" t="str">
        <x:v>内部CW laser+SiPh</x:v>
      </x:c>
      <x:c r="H14" s="29" t="str">
        <x:v>MPO12</x:v>
      </x:c>
      <x:c r="I14" s="29" t="str">
        <x:v>样品/导入</x:v>
      </x:c>
      <x:c r="J14" s="29" t="str">
        <x:v>正式IA</x:v>
      </x:c>
      <x:c r="M14" s="29" t="str">
        <x:v>800-QDD-2FR4-8E8O-EML</x:v>
      </x:c>
    </x:row>
    <x:row r="15">
      <x:c r="D15" s="29" t="str">
        <x:v>DR8/500m</x:v>
      </x:c>
      <x:c r="E15" s="29" t="str">
        <x:v>QSFP112</x:v>
      </x:c>
      <x:c r="F15" s="29" t="str">
        <x:v>厂商未完整披露</x:v>
      </x:c>
      <x:c r="H15" s="29" t="str">
        <x:v>MPO16</x:v>
      </x:c>
      <x:c r="I15" s="29" t="str">
        <x:v>演示/导入</x:v>
      </x:c>
      <x:c r="J15" s="29" t="str">
        <x:v>行业预测</x:v>
      </x:c>
      <x:c r="M15" s="29" t="str">
        <x:v>800-QDD-2DR4-8E8O-EML</x:v>
      </x:c>
    </x:row>
    <x:row r="16">
      <x:c r="D16" s="29" t="str">
        <x:v>FR roadmap</x:v>
      </x:c>
      <x:c r="F16" s="29" t="str">
        <x:v>待标准</x:v>
      </x:c>
      <x:c r="H16" s="29" t="str">
        <x:v>MPO16/待标准</x:v>
      </x:c>
      <x:c r="I16" s="29" t="str">
        <x:v>路线预测</x:v>
      </x:c>
      <x:c r="M16" s="29" t="str">
        <x:v>800-QDD-DR8-8E8O-EML</x:v>
      </x:c>
    </x:row>
    <x:row r="17">
      <x:c r="D17" s="29" t="str">
        <x:v>FR4/2km</x:v>
      </x:c>
      <x:c r="H17" s="29" t="str">
        <x:v>MPO16/演示配置</x:v>
      </x:c>
      <x:c r="I17" s="29" t="str">
        <x:v>量产</x:v>
      </x:c>
      <x:c r="M17" s="29" t="str">
        <x:v>800-QDD-SR8-8E8O-VCSEL</x:v>
      </x:c>
    </x:row>
    <x:row r="18">
      <x:c r="D18" s="29" t="str">
        <x:v>LR4/10km</x:v>
      </x:c>
      <x:c r="H18" s="29" t="str">
        <x:v>固定尾纤</x:v>
      </x:c>
      <x:c r="M18" s="29" t="str">
        <x:v>800-O112-2LR4-8E8O-EML</x:v>
      </x:c>
    </x:row>
    <x:row r="19">
      <x:c r="D19" s="29" t="str">
        <x:v>SR4.2/100m</x:v>
      </x:c>
      <x:c r="H19" s="29" t="str">
        <x:v>待标准</x:v>
      </x:c>
      <x:c r="M19" s="29" t="str">
        <x:v>800-O112-DR4-8E4O-dEML</x:v>
      </x:c>
    </x:row>
    <x:row r="20">
      <x:c r="D20" s="29" t="str">
        <x:v>SR8/100m</x:v>
      </x:c>
      <x:c r="H20" s="29" t="str">
        <x:v>未披露</x:v>
      </x:c>
      <x:c r="M20" s="29" t="str">
        <x:v>800-O224-DR4-4E4O-EML-ILL</x:v>
      </x:c>
    </x:row>
    <x:row r="21">
      <x:c r="D21" s="29" t="str">
        <x:v>SR8/50m</x:v>
      </x:c>
      <x:c r="M21" s="29" t="str">
        <x:v>800-O112-DR4-8E4O-SIPH</x:v>
      </x:c>
    </x:row>
    <x:row r="22">
      <x:c r="D22" s="29" t="str">
        <x:v>SR8/短距</x:v>
      </x:c>
      <x:c r="M22" s="29" t="str">
        <x:v>800-O112-FR4-8E4O-SIPH</x:v>
      </x:c>
    </x:row>
    <x:row r="23">
      <x:c r="D23" s="29" t="str">
        <x:v>VR4/30m</x:v>
      </x:c>
      <x:c r="M23" s="29" t="str">
        <x:v>800-O112-2DR4-LPO-SIPH</x:v>
      </x:c>
    </x:row>
    <x:row r="24">
      <x:c r="M24" s="29" t="str">
        <x:v>800-O112-DR8-LRO-SIPH</x:v>
      </x:c>
    </x:row>
    <x:row r="25">
      <x:c r="M25" s="29" t="str">
        <x:v>1600-O224-DR8-8E8O-EML</x:v>
      </x:c>
    </x:row>
    <x:row r="26">
      <x:c r="M26" s="29" t="str">
        <x:v>1600-O224-DR8-8E8O-SIPH</x:v>
      </x:c>
    </x:row>
    <x:row r="27">
      <x:c r="M27" s="29" t="str">
        <x:v>1600-O224-2DR4-8E8O-SIPH</x:v>
      </x:c>
    </x:row>
    <x:row r="28">
      <x:c r="M28" s="29" t="str">
        <x:v>1600-O224-2FR4-8E8O-SIPH</x:v>
      </x:c>
    </x:row>
    <x:row r="29">
      <x:c r="M29" s="29" t="str">
        <x:v>1600-O224-DR8-LPO-SIPH</x:v>
      </x:c>
    </x:row>
    <x:row r="30">
      <x:c r="M30" s="29" t="str">
        <x:v>1600-O224-2DR4-LPO-SIPH</x:v>
      </x:c>
    </x:row>
    <x:row r="31">
      <x:c r="M31" s="29" t="str">
        <x:v>1600-O224-DR8-RTLR</x:v>
      </x:c>
    </x:row>
    <x:row r="32">
      <x:c r="M32" s="29" t="str">
        <x:v>1600-O224-SR8-8E8O-VCSEL</x:v>
      </x:c>
    </x:row>
    <x:row r="33">
      <x:c r="M33" s="29" t="str">
        <x:v>1600-O224-AOC-8E8O-SIPH</x:v>
      </x:c>
    </x:row>
    <x:row r="34">
      <x:c r="M34" s="29" t="str">
        <x:v>3200-CPO-8DR4-INT</x:v>
      </x:c>
    </x:row>
    <x:row r="35">
      <x:c r="M35" s="29" t="str">
        <x:v>3200-CPO-8DR4-EXT-8PMF</x:v>
      </x:c>
    </x:row>
    <x:row r="36">
      <x:c r="M36" s="29" t="str">
        <x:v>3200-CPO-8DR4-EXT-4PMF</x:v>
      </x:c>
    </x:row>
    <x:row r="37">
      <x:c r="M37" s="29" t="str">
        <x:v>3200-CPO-8FR4-INT</x:v>
      </x:c>
    </x:row>
    <x:row r="38">
      <x:c r="M38" s="29" t="str">
        <x:v>3200-CPO-8FR4-EXT-8PMF</x:v>
      </x:c>
    </x:row>
    <x:row r="39">
      <x:c r="M39" s="29" t="str">
        <x:v>3200-CPO-8FR4-EXT-4PMF</x:v>
      </x:c>
    </x:row>
    <x:row r="40">
      <x:c r="M40" s="29" t="str">
        <x:v>3200-OSFPXD-DR-RETIMED</x:v>
      </x:c>
    </x:row>
    <x:row r="41">
      <x:c r="M41" s="29" t="str">
        <x:v>3200-OSFPXD-FR-RETIMED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7.440000534057617" hidden="0" customWidth="1"/>
    <x:col min="3" max="3" width="18.440000534057617" hidden="0" customWidth="1"/>
    <x:col min="4" max="4" width="12.670000076293945" hidden="0" customWidth="1"/>
    <x:col min="5" max="5" width="34" hidden="0" customWidth="1"/>
    <x:col min="6" max="6" width="48" hidden="0" customWidth="1"/>
    <x:col min="7" max="7" width="24.559999465942383" hidden="0" customWidth="1"/>
    <x:col min="8" max="8" width="13.779999732971191" hidden="0" customWidth="1"/>
    <x:col min="9" max="9" width="34" hidden="0" customWidth="1"/>
    <x:col min="10" max="10" width="5" hidden="0" customWidth="1"/>
    <x:col min="11" max="11" width="34" hidden="0" customWidth="1"/>
  </x:cols>
  <x:sheetData>
    <x:row r="1" ht="21.600000381469727" hidden="0" customHeight="1">
      <x:c r="A1" s="4" t="str">
        <x:v>来源与审计轨迹</x:v>
      </x:c>
      <x:c r="B1" s="4" t="str">
        <x:v>来源与审计轨迹</x:v>
      </x:c>
      <x:c r="C1" s="4" t="str">
        <x:v>来源与审计轨迹</x:v>
      </x:c>
      <x:c r="D1" s="4" t="str">
        <x:v>来源与审计轨迹</x:v>
      </x:c>
      <x:c r="E1" s="4" t="str">
        <x:v>来源与审计轨迹</x:v>
      </x:c>
      <x:c r="F1" s="4" t="str">
        <x:v>来源与审计轨迹</x:v>
      </x:c>
      <x:c r="G1" s="4" t="str">
        <x:v>来源与审计轨迹</x:v>
      </x:c>
      <x:c r="H1" s="4" t="str">
        <x:v>来源与审计轨迹</x:v>
      </x:c>
      <x:c r="I1" s="4" t="str">
        <x:v>来源与审计轨迹</x:v>
      </x:c>
      <x:c r="J1" s="4" t="str">
        <x:v>来源与审计轨迹</x:v>
      </x:c>
      <x:c r="K1" s="4" t="str">
        <x:v>来源与审计轨迹</x:v>
      </x:c>
    </x:row>
    <x:row r="2" ht="15" hidden="0" customHeight="1">
      <x:c r="A2" s="7" t="str">
        <x:v>Primary优先；Secondary只用于ASP和行业路线；Excluded明确记录但不进入任何结论字段</x:v>
      </x:c>
      <x:c r="B2" s="7" t="str">
        <x:v>Primary优先；Secondary只用于ASP和行业路线；Excluded明确记录但不进入任何结论字段</x:v>
      </x:c>
      <x:c r="C2" s="7" t="str">
        <x:v>Primary优先；Secondary只用于ASP和行业路线；Excluded明确记录但不进入任何结论字段</x:v>
      </x:c>
      <x:c r="D2" s="7" t="str">
        <x:v>Primary优先；Secondary只用于ASP和行业路线；Excluded明确记录但不进入任何结论字段</x:v>
      </x:c>
      <x:c r="E2" s="7" t="str">
        <x:v>Primary优先；Secondary只用于ASP和行业路线；Excluded明确记录但不进入任何结论字段</x:v>
      </x:c>
      <x:c r="F2" s="7" t="str">
        <x:v>Primary优先；Secondary只用于ASP和行业路线；Excluded明确记录但不进入任何结论字段</x:v>
      </x:c>
      <x:c r="G2" s="7" t="str">
        <x:v>Primary优先；Secondary只用于ASP和行业路线；Excluded明确记录但不进入任何结论字段</x:v>
      </x:c>
      <x:c r="H2" s="7" t="str">
        <x:v>Primary优先；Secondary只用于ASP和行业路线；Excluded明确记录但不进入任何结论字段</x:v>
      </x:c>
      <x:c r="I2" s="7" t="str">
        <x:v>Primary优先；Secondary只用于ASP和行业路线；Excluded明确记录但不进入任何结论字段</x:v>
      </x:c>
      <x:c r="J2" s="7" t="str">
        <x:v>Primary优先；Secondary只用于ASP和行业路线；Excluded明确记录但不进入任何结论字段</x:v>
      </x:c>
      <x:c r="K2" s="7" t="str">
        <x:v>Primary优先；Secondary只用于ASP和行业路线；Excluded明确记录但不进入任何结论字段</x:v>
      </x:c>
    </x:row>
    <x:row r="3" ht="15" hidden="0" customHeight="1">
      <x:c r="A3" s="21" t="str">
        <x:v>← 返回‘00_型号选择器’工作表</x:v>
      </x:c>
    </x:row>
    <x:row r="4" ht="15" hidden="0" customHeight="1">
      <x:c r="A4" s="13" t="str">
        <x:v>Source_ID</x:v>
      </x:c>
      <x:c r="B4" s="13" t="str">
        <x:v>机构/主体</x:v>
      </x:c>
      <x:c r="C4" s="13" t="str">
        <x:v>类型</x:v>
      </x:c>
      <x:c r="D4" s="13" t="str">
        <x:v>日期</x:v>
      </x:c>
      <x:c r="E4" s="13" t="str">
        <x:v>标题</x:v>
      </x:c>
      <x:c r="F4" s="13" t="str">
        <x:v>URL或本地文件</x:v>
      </x:c>
      <x:c r="G4" s="13" t="str">
        <x:v>页码/章节</x:v>
      </x:c>
      <x:c r="H4" s="13" t="str">
        <x:v>证据层级</x:v>
      </x:c>
      <x:c r="I4" s="13" t="str">
        <x:v>用于支持</x:v>
      </x:c>
      <x:c r="J4" s="13" t="str">
        <x:v>置信度</x:v>
      </x:c>
      <x:c r="K4" s="13" t="str">
        <x:v>审计备注</x:v>
      </x:c>
    </x:row>
    <x:row r="5" ht="15" hidden="0" customHeight="1">
      <x:c r="A5" s="19" t="str">
        <x:v>S01</x:v>
      </x:c>
      <x:c r="B5" s="19" t="str">
        <x:v>InnoLight</x:v>
      </x:c>
      <x:c r="C5" s="19" t="str">
        <x:v>厂商产品页</x:v>
      </x:c>
      <x:c r="D5" s="19" t="str">
        <x:v>访问于2026-08-18</x:v>
      </x:c>
      <x:c r="E5" s="19" t="str">
        <x:v>400G QSFP56-DD</x:v>
      </x:c>
      <x:c r="F5" s="30" t="str">
        <x:v>https://www.innolight.com/data-center-networking/400g-qsfp56-dd</x:v>
      </x:c>
      <x:c r="G5" s="19" t="str">
        <x:v>产品规格</x:v>
      </x:c>
      <x:c r="H5" s="19" t="str">
        <x:v>Primary</x:v>
      </x:c>
      <x:c r="I5" s="19" t="str">
        <x:v>400G LR4/FR4/DR4/SR4.2/SR8/AOC</x:v>
      </x:c>
      <x:c r="J5" s="19" t="str">
        <x:v>高</x:v>
      </x:c>
      <x:c r="K5" s="19" t="str">
        <x:v>产品页用于SKU级规格</x:v>
      </x:c>
    </x:row>
    <x:row r="6" ht="15" hidden="0" customHeight="1">
      <x:c r="A6" s="19" t="str">
        <x:v>S02</x:v>
      </x:c>
      <x:c r="B6" s="19" t="str">
        <x:v>InnoLight</x:v>
      </x:c>
      <x:c r="C6" s="19" t="str">
        <x:v>厂商产品页</x:v>
      </x:c>
      <x:c r="D6" s="19" t="str">
        <x:v>访问于2026-08-18</x:v>
      </x:c>
      <x:c r="E6" s="19" t="str">
        <x:v>400G QSFP112</x:v>
      </x:c>
      <x:c r="F6" s="30" t="str">
        <x:v>https://www.innolight.com/data-center-networking/400g-qsfp112</x:v>
      </x:c>
      <x:c r="G6" s="19" t="str">
        <x:v>产品规格</x:v>
      </x:c>
      <x:c r="H6" s="19" t="str">
        <x:v>Primary</x:v>
      </x:c>
      <x:c r="I6" s="19" t="str">
        <x:v>400G VR4 4×100G</x:v>
      </x:c>
      <x:c r="J6" s="19" t="str">
        <x:v>高</x:v>
      </x:c>
      <x:c r="K6" s="19" t="str"/>
    </x:row>
    <x:row r="7" ht="15" hidden="0" customHeight="1">
      <x:c r="A7" s="19" t="str">
        <x:v>S03</x:v>
      </x:c>
      <x:c r="B7" s="19" t="str">
        <x:v>InnoLight</x:v>
      </x:c>
      <x:c r="C7" s="19" t="str">
        <x:v>厂商产品页</x:v>
      </x:c>
      <x:c r="D7" s="19" t="str">
        <x:v>访问于2026-08-18</x:v>
      </x:c>
      <x:c r="E7" s="19" t="str">
        <x:v>400G OSFP112</x:v>
      </x:c>
      <x:c r="F7" s="30" t="str">
        <x:v>https://www.innolight.com/data-center-networking/400g-osfp112</x:v>
      </x:c>
      <x:c r="G7" s="19" t="str">
        <x:v>产品规格</x:v>
      </x:c>
      <x:c r="H7" s="19" t="str">
        <x:v>Primary</x:v>
      </x:c>
      <x:c r="I7" s="19" t="str">
        <x:v>400G DR4 OSFP112</x:v>
      </x:c>
      <x:c r="J7" s="19" t="str">
        <x:v>高</x:v>
      </x:c>
      <x:c r="K7" s="19" t="str"/>
    </x:row>
    <x:row r="8" ht="15" hidden="0" customHeight="1">
      <x:c r="A8" s="19" t="str">
        <x:v>S04</x:v>
      </x:c>
      <x:c r="B8" s="19" t="str">
        <x:v>InnoLight</x:v>
      </x:c>
      <x:c r="C8" s="19" t="str">
        <x:v>厂商产品页</x:v>
      </x:c>
      <x:c r="D8" s="19" t="str">
        <x:v>访问于2026-08-18</x:v>
      </x:c>
      <x:c r="E8" s="19" t="str">
        <x:v>800G QSFP112-DD</x:v>
      </x:c>
      <x:c r="F8" s="30" t="str">
        <x:v>https://www.innolight.com/data-center-networking/800g-qsfp112-dd</x:v>
      </x:c>
      <x:c r="G8" s="19" t="str">
        <x:v>产品规格</x:v>
      </x:c>
      <x:c r="H8" s="19" t="str">
        <x:v>Primary</x:v>
      </x:c>
      <x:c r="I8" s="19" t="str">
        <x:v>800G 2×FR4/2×DR4/DR8/SR8</x:v>
      </x:c>
      <x:c r="J8" s="19" t="str">
        <x:v>高</x:v>
      </x:c>
      <x:c r="K8" s="19" t="str"/>
    </x:row>
    <x:row r="9" ht="15" hidden="0" customHeight="1">
      <x:c r="A9" s="19" t="str">
        <x:v>S05</x:v>
      </x:c>
      <x:c r="B9" s="19" t="str">
        <x:v>InnoLight</x:v>
      </x:c>
      <x:c r="C9" s="19" t="str">
        <x:v>厂商产品页</x:v>
      </x:c>
      <x:c r="D9" s="19" t="str">
        <x:v>访问于2026-08-18</x:v>
      </x:c>
      <x:c r="E9" s="19" t="str">
        <x:v>800G OSFP112</x:v>
      </x:c>
      <x:c r="F9" s="30" t="str">
        <x:v>https://www.innolight.com/data-center-networking/800g-osfp112</x:v>
      </x:c>
      <x:c r="G9" s="19" t="str">
        <x:v>产品规格</x:v>
      </x:c>
      <x:c r="H9" s="19" t="str">
        <x:v>Primary</x:v>
      </x:c>
      <x:c r="I9" s="19" t="str">
        <x:v>800G OSFP112系列与2×LR4</x:v>
      </x:c>
      <x:c r="J9" s="19" t="str">
        <x:v>高</x:v>
      </x:c>
      <x:c r="K9" s="19" t="str"/>
    </x:row>
    <x:row r="10" ht="24" hidden="0" customHeight="1">
      <x:c r="A10" s="19" t="str">
        <x:v>S06</x:v>
      </x:c>
      <x:c r="B10" s="19" t="str">
        <x:v>Coherent</x:v>
      </x:c>
      <x:c r="C10" s="19" t="str">
        <x:v>厂商新闻/产品演示</x:v>
      </x:c>
      <x:c r="D10" s="19" t="str">
        <x:v>2023-09-18</x:v>
      </x:c>
      <x:c r="E10" s="19" t="str">
        <x:v>800G DR4 and 1.6T DR8 demonstrations</x:v>
      </x:c>
      <x:c r="F10" s="30" t="str">
        <x:v>https://www.coherent.com/news/press-releases/coherent-demonstrates-two-advanced-transceiver-modules</x:v>
      </x:c>
      <x:c r="G10" s="19" t="str">
        <x:v>正文</x:v>
      </x:c>
      <x:c r="H10" s="19" t="str">
        <x:v>Primary</x:v>
      </x:c>
      <x:c r="I10" s="19" t="str">
        <x:v>800G 8×100G电侧+4×200G光侧；1.6T SiPh</x:v>
      </x:c>
      <x:c r="J10" s="19" t="str">
        <x:v>高</x:v>
      </x:c>
      <x:c r="K10" s="19" t="str">
        <x:v>演示不等同于大规模量产</x:v>
      </x:c>
    </x:row>
    <x:row r="11" ht="24" hidden="0" customHeight="1">
      <x:c r="A11" s="19" t="str">
        <x:v>S07</x:v>
      </x:c>
      <x:c r="B11" s="19" t="str">
        <x:v>InnoLight</x:v>
      </x:c>
      <x:c r="C11" s="19" t="str">
        <x:v>厂商产品页</x:v>
      </x:c>
      <x:c r="D11" s="19" t="str">
        <x:v>访问于2026-08-18</x:v>
      </x:c>
      <x:c r="E11" s="19" t="str">
        <x:v>800G OSFP224</x:v>
      </x:c>
      <x:c r="F11" s="30" t="str">
        <x:v>https://www.innolight.com/data-center-networking/800g-osfp224</x:v>
      </x:c>
      <x:c r="G11" s="19" t="str">
        <x:v>产品规格</x:v>
      </x:c>
      <x:c r="H11" s="19" t="str">
        <x:v>Primary</x:v>
      </x:c>
      <x:c r="I11" s="19" t="str">
        <x:v>800G 4×200G主机侧</x:v>
      </x:c>
      <x:c r="J11" s="19" t="str">
        <x:v>中</x:v>
      </x:c>
      <x:c r="K11" s="19" t="str">
        <x:v>页面标题DR4与正文4λ CWDM/MUX-DEMUX存在内部矛盾，已显式标记</x:v>
      </x:c>
    </x:row>
    <x:row r="12" ht="24" hidden="0" customHeight="1">
      <x:c r="A12" s="19" t="str">
        <x:v>S08</x:v>
      </x:c>
      <x:c r="B12" s="19" t="str">
        <x:v>Amphenol CS</x:v>
      </x:c>
      <x:c r="C12" s="19" t="str">
        <x:v>厂商产品手册</x:v>
      </x:c>
      <x:c r="D12" s="19" t="str">
        <x:v>访问于2026-08-18</x:v>
      </x:c>
      <x:c r="E12" s="19" t="str">
        <x:v>XGiga Product Guide</x:v>
      </x:c>
      <x:c r="F12" s="30" t="str">
        <x:v>https://www.amphenol-cs.com/media/wysiwyg/files/documentation/datasheet/general/xgiga-product-guide.pdf</x:v>
      </x:c>
      <x:c r="G12" s="19" t="str">
        <x:v>1.6T/800G transceiver pages</x:v>
      </x:c>
      <x:c r="H12" s="19" t="str">
        <x:v>Primary</x:v>
      </x:c>
      <x:c r="I12" s="19" t="str">
        <x:v>SiPh+DSP、OSFP112/224、MPO/LC</x:v>
      </x:c>
      <x:c r="J12" s="19" t="str">
        <x:v>高</x:v>
      </x:c>
      <x:c r="K12" s="19" t="str"/>
    </x:row>
    <x:row r="13" ht="24" hidden="0" customHeight="1">
      <x:c r="A13" s="19" t="str">
        <x:v>S09</x:v>
      </x:c>
      <x:c r="B13" s="19" t="str">
        <x:v>Amphenol CS</x:v>
      </x:c>
      <x:c r="C13" s="19" t="str">
        <x:v>厂商产品页</x:v>
      </x:c>
      <x:c r="D13" s="19" t="str">
        <x:v>访问于2026-08-18</x:v>
      </x:c>
      <x:c r="E13" s="19" t="str">
        <x:v>1.6T OSFP Transceivers</x:v>
      </x:c>
      <x:c r="F13" s="30" t="str">
        <x:v>https://www.amphenol-cs.com/product-series/1-6t-osfp-transceivers.html</x:v>
      </x:c>
      <x:c r="G13" s="19" t="str">
        <x:v>产品系列</x:v>
      </x:c>
      <x:c r="H13" s="19" t="str">
        <x:v>Primary</x:v>
      </x:c>
      <x:c r="I13" s="19" t="str">
        <x:v>LPO/LRO/2×DR4/2×FR4/AOC</x:v>
      </x:c>
      <x:c r="J13" s="19" t="str">
        <x:v>中</x:v>
      </x:c>
      <x:c r="K13" s="19" t="str">
        <x:v>系列页覆盖多种变体，具体SKU仍需datasheet</x:v>
      </x:c>
    </x:row>
    <x:row r="14" ht="15" hidden="0" customHeight="1">
      <x:c r="A14" s="19" t="str">
        <x:v>S10</x:v>
      </x:c>
      <x:c r="B14" s="19" t="str">
        <x:v>InnoLight</x:v>
      </x:c>
      <x:c r="C14" s="19" t="str">
        <x:v>厂商产品页</x:v>
      </x:c>
      <x:c r="D14" s="19" t="str">
        <x:v>访问于2026-08-18</x:v>
      </x:c>
      <x:c r="E14" s="19" t="str">
        <x:v>1.6T OSFP224</x:v>
      </x:c>
      <x:c r="F14" s="30" t="str">
        <x:v>https://www.innolight.com/data-center-networking/1.6t-osfp224</x:v>
      </x:c>
      <x:c r="G14" s="19" t="str">
        <x:v>产品规格</x:v>
      </x:c>
      <x:c r="H14" s="19" t="str">
        <x:v>Primary</x:v>
      </x:c>
      <x:c r="I14" s="19" t="str">
        <x:v>1.6T DR8 8×200G</x:v>
      </x:c>
      <x:c r="J14" s="19" t="str">
        <x:v>高</x:v>
      </x:c>
      <x:c r="K14" s="19" t="str">
        <x:v>连接器未披露</x:v>
      </x:c>
    </x:row>
    <x:row r="15" ht="24" hidden="0" customHeight="1">
      <x:c r="A15" s="19" t="str">
        <x:v>S11</x:v>
      </x:c>
      <x:c r="B15" s="19" t="str">
        <x:v>Coherent</x:v>
      </x:c>
      <x:c r="C15" s="19" t="str">
        <x:v>厂商产品页</x:v>
      </x:c>
      <x:c r="D15" s="19" t="str">
        <x:v>访问于2026-08-18</x:v>
      </x:c>
      <x:c r="E15" s="19" t="str">
        <x:v>1.6T DR8 OSFP Transceiver</x:v>
      </x:c>
      <x:c r="F15" s="30" t="str">
        <x:v>https://www.coherent.com/networking/transceivers/datacom/FTCF2519E3PCA</x:v>
      </x:c>
      <x:c r="G15" s="19" t="str">
        <x:v>产品规格</x:v>
      </x:c>
      <x:c r="H15" s="19" t="str">
        <x:v>Primary</x:v>
      </x:c>
      <x:c r="I15" s="19" t="str">
        <x:v>8×200G、500m、dual MPO12</x:v>
      </x:c>
      <x:c r="J15" s="19" t="str">
        <x:v>高</x:v>
      </x:c>
      <x:c r="K15" s="19" t="str"/>
    </x:row>
    <x:row r="16" ht="24" hidden="0" customHeight="1">
      <x:c r="A16" s="19" t="str">
        <x:v>S12</x:v>
      </x:c>
      <x:c r="B16" s="19" t="str">
        <x:v>Jabil</x:v>
      </x:c>
      <x:c r="C16" s="19" t="str">
        <x:v>厂商资料</x:v>
      </x:c>
      <x:c r="D16" s="19" t="str">
        <x:v>2026 source pack</x:v>
      </x:c>
      <x:c r="E16" s="19" t="str">
        <x:v>1.6T DR8/DR8+/2×DR4/2×DR4+ OSFP</x:v>
      </x:c>
      <x:c r="F16" s="30" t="str">
        <x:v>/Users/anthonyhanxiangding/Downloads/Investing/AIDC/光模块/1.6T光模块_研报纪要_20260505/sources.csv</x:v>
      </x:c>
      <x:c r="G16" s="19" t="str">
        <x:v>Jabil条目</x:v>
      </x:c>
      <x:c r="H16" s="19" t="str">
        <x:v>Primary index</x:v>
      </x:c>
      <x:c r="I16" s="19" t="str">
        <x:v>1.6T产品变体交叉核验</x:v>
      </x:c>
      <x:c r="J16" s="19" t="str">
        <x:v>中</x:v>
      </x:c>
      <x:c r="K16" s="19" t="str">
        <x:v>链接与文件索引来自本地公开资料包</x:v>
      </x:c>
    </x:row>
    <x:row r="17" ht="24" hidden="0" customHeight="1">
      <x:c r="A17" s="19" t="str">
        <x:v>S13</x:v>
      </x:c>
      <x:c r="B17" s="19" t="str">
        <x:v>OIF/Hisense</x:v>
      </x:c>
      <x:c r="C17" s="19" t="str">
        <x:v>互操作演示</x:v>
      </x:c>
      <x:c r="D17" s="19" t="str">
        <x:v>2026 source pack</x:v>
      </x:c>
      <x:c r="E17" s="19" t="str">
        <x:v>CEI-224G 1.6T DR8 RTLR</x:v>
      </x:c>
      <x:c r="F17" s="30" t="str">
        <x:v>/Users/anthonyhanxiangding/Downloads/Investing/AIDC/光模块/1.6T光模块_研报纪要_20260505/sources.csv</x:v>
      </x:c>
      <x:c r="G17" s="19" t="str">
        <x:v>OIF/Hisense条目</x:v>
      </x:c>
      <x:c r="H17" s="19" t="str">
        <x:v>Primary index</x:v>
      </x:c>
      <x:c r="I17" s="19" t="str">
        <x:v>1.6T RTLR和CEI-224G生态</x:v>
      </x:c>
      <x:c r="J17" s="19" t="str">
        <x:v>中</x:v>
      </x:c>
      <x:c r="K17" s="19" t="str">
        <x:v>互操作演示不证明商业出货规模</x:v>
      </x:c>
    </x:row>
    <x:row r="18" ht="36" hidden="0" customHeight="1">
      <x:c r="A18" s="19" t="str">
        <x:v>S14</x:v>
      </x:c>
      <x:c r="B18" s="19" t="str">
        <x:v>OIF</x:v>
      </x:c>
      <x:c r="C18" s="19" t="str">
        <x:v>Implementation Agreement</x:v>
      </x:c>
      <x:c r="D18" s="19" t="str">
        <x:v>2023-03-29</x:v>
      </x:c>
      <x:c r="E18" s="19" t="str">
        <x:v>Co-Packaging 3.2T Module Implementation Agreement</x:v>
      </x:c>
      <x:c r="F18" s="30" t="str">
        <x:v>https://www.oiforum.com/wp-content/uploads/OIF-Co-Packaging-3.2T-Module-01.0.pdf</x:v>
      </x:c>
      <x:c r="G18" s="19" t="str">
        <x:v>p7-p13，Figure 4，Table 1和Table 3</x:v>
      </x:c>
      <x:c r="H18" s="19" t="str">
        <x:v>Primary standard</x:v>
      </x:c>
      <x:c r="I18" s="19" t="str">
        <x:v>32×112G XSR等级，实际106.25Gb/s；8×400G DR4/FR4；内/外置激光；4/8 PMF；DSP/Driver/TIA；48/56W最大功耗</x:v>
      </x:c>
      <x:c r="J18" s="19" t="str">
        <x:v>高</x:v>
      </x:c>
      <x:c r="K18" s="19" t="str">
        <x:v>线路侧连接器未由该IA强制规定</x:v>
      </x:c>
    </x:row>
    <x:row r="19" ht="24" hidden="0" customHeight="1">
      <x:c r="A19" s="19" t="str">
        <x:v>S15</x:v>
      </x:c>
      <x:c r="B19" s="19" t="str">
        <x:v>OSFP MSA</x:v>
      </x:c>
      <x:c r="C19" s="19" t="str">
        <x:v>Form-factor MSA</x:v>
      </x:c>
      <x:c r="D19" s="19" t="str">
        <x:v>访问于2026-08-18</x:v>
      </x:c>
      <x:c r="E19" s="19" t="str">
        <x:v>OSFP and OSFP-XD</x:v>
      </x:c>
      <x:c r="F19" s="30" t="str">
        <x:v>https://osfpmsa.org/</x:v>
      </x:c>
      <x:c r="G19" s="19" t="str">
        <x:v>Overview/FAQ</x:v>
      </x:c>
      <x:c r="H19" s="19" t="str">
        <x:v>Primary MSA</x:v>
      </x:c>
      <x:c r="I19" s="19" t="str">
        <x:v>OSFP至1.6T和OSFP-XD 3.2T形态能力</x:v>
      </x:c>
      <x:c r="J19" s="19" t="str">
        <x:v>中</x:v>
      </x:c>
      <x:c r="K19" s="19" t="str">
        <x:v>FAQ存在疑似lane算术矛盾，本底稿不据此填精确通道数</x:v>
      </x:c>
    </x:row>
    <x:row r="20" ht="48" hidden="0" customHeight="1">
      <x:c r="A20" s="19" t="str">
        <x:v>S16</x:v>
      </x:c>
      <x:c r="B20" s="19" t="str">
        <x:v>LightCounting</x:v>
      </x:c>
      <x:c r="C20" s="19" t="str">
        <x:v>行业研究PDF</x:v>
      </x:c>
      <x:c r="D20" s="19" t="str">
        <x:v>2026-03</x:v>
      </x:c>
      <x:c r="E20" s="19" t="str">
        <x:v>Ethernet Optics March 2026</x:v>
      </x:c>
      <x:c r="F20" s="30" t="str">
        <x:v>/Users/anthonyhanxiangding/Desktop/高瓴/SiFotonics 希烽光电/公众号和研报 Resource/英文研报/01_LightCounting_Ethernet_Optics_March_2026.pdf</x:v>
      </x:c>
      <x:c r="G20" s="19" t="str">
        <x:v>p44、p46、p49、p51</x:v>
      </x:c>
      <x:c r="H20" s="19" t="str">
        <x:v>Secondary research</x:v>
      </x:c>
      <x:c r="I20" s="19" t="str">
        <x:v>400G/800G/1.6T/3.2T ASP图表</x:v>
      </x:c>
      <x:c r="J20" s="19" t="str">
        <x:v>中</x:v>
      </x:c>
      <x:c r="K20" s="19" t="str">
        <x:v>2026E点位为图表人工读取近似值，不是OEM报价</x:v>
      </x:c>
    </x:row>
    <x:row r="21" ht="15" hidden="0" customHeight="1">
      <x:c r="A21" s="19" t="str">
        <x:v>S17</x:v>
      </x:c>
      <x:c r="B21" s="19" t="str">
        <x:v>OIF</x:v>
      </x:c>
      <x:c r="C21" s="19" t="str">
        <x:v>管理接口规范</x:v>
      </x:c>
      <x:c r="D21" s="19" t="str">
        <x:v>访问于2026-08-18</x:v>
      </x:c>
      <x:c r="E21" s="19" t="str">
        <x:v>CMIS</x:v>
      </x:c>
      <x:c r="F21" s="30" t="str">
        <x:v>https://www.oiforum.com/technical-work/hot-topics/cmis/</x:v>
      </x:c>
      <x:c r="G21" s="19" t="str">
        <x:v>CMIS overview</x:v>
      </x:c>
      <x:c r="H21" s="19" t="str">
        <x:v>Primary standard</x:v>
      </x:c>
      <x:c r="I21" s="19" t="str">
        <x:v>模块管理、EEPROM/MCU语境</x:v>
      </x:c>
      <x:c r="J21" s="19" t="str">
        <x:v>高</x:v>
      </x:c>
      <x:c r="K21" s="19" t="str"/>
    </x:row>
    <x:row r="22" ht="24" hidden="0" customHeight="1">
      <x:c r="A22" s="19" t="str">
        <x:v>S18</x:v>
      </x:c>
      <x:c r="B22" s="19" t="str">
        <x:v>Credo</x:v>
      </x:c>
      <x:c r="C22" s="19" t="str">
        <x:v>厂商产品资料</x:v>
      </x:c>
      <x:c r="D22" s="19" t="str">
        <x:v>2026 source pack</x:v>
      </x:c>
      <x:c r="E22" s="19" t="str">
        <x:v>Bluebird DSP platform</x:v>
      </x:c>
      <x:c r="F22" s="30" t="str">
        <x:v>/Users/anthonyhanxiangding/Downloads/Investing/AIDC/光模块/1.6T光模块_研报纪要_20260505/sources.csv</x:v>
      </x:c>
      <x:c r="G22" s="19" t="str">
        <x:v>Credo条目</x:v>
      </x:c>
      <x:c r="H22" s="19" t="str">
        <x:v>Primary index</x:v>
      </x:c>
      <x:c r="I22" s="19" t="str">
        <x:v>DSP/SerDes/Retimer生态</x:v>
      </x:c>
      <x:c r="J22" s="19" t="str">
        <x:v>中</x:v>
      </x:c>
      <x:c r="K22" s="19" t="str">
        <x:v>不用于推定某模块的独家供应商</x:v>
      </x:c>
    </x:row>
    <x:row r="23" ht="24" hidden="0" customHeight="1">
      <x:c r="A23" s="19" t="str">
        <x:v>S19</x:v>
      </x:c>
      <x:c r="B23" s="19" t="str">
        <x:v>RP Photonics</x:v>
      </x:c>
      <x:c r="C23" s="19" t="str">
        <x:v>技术百科</x:v>
      </x:c>
      <x:c r="D23" s="19" t="str">
        <x:v>访问于2026-08-18</x:v>
      </x:c>
      <x:c r="E23" s="19" t="str">
        <x:v>VCSELs</x:v>
      </x:c>
      <x:c r="F23" s="30" t="str">
        <x:v>https://www.rp-photonics.com/vertical_cavity_surface_emitting_lasers.html</x:v>
      </x:c>
      <x:c r="G23" s="19" t="str">
        <x:v>结构与指标</x:v>
      </x:c>
      <x:c r="H23" s="19" t="str">
        <x:v>Technical reference</x:v>
      </x:c>
      <x:c r="I23" s="19" t="str">
        <x:v>DBR、谐振腔、VCSEL结构</x:v>
      </x:c>
      <x:c r="J23" s="19" t="str">
        <x:v>中</x:v>
      </x:c>
      <x:c r="K23" s="19" t="str">
        <x:v>用于器件原理，不用于商业规格</x:v>
      </x:c>
    </x:row>
    <x:row r="24" ht="24" hidden="0" customHeight="1">
      <x:c r="A24" s="19" t="str">
        <x:v>S20</x:v>
      </x:c>
      <x:c r="B24" s="19" t="str">
        <x:v>RP Photonics</x:v>
      </x:c>
      <x:c r="C24" s="19" t="str">
        <x:v>技术百科</x:v>
      </x:c>
      <x:c r="D24" s="19" t="str">
        <x:v>访问于2026-08-18</x:v>
      </x:c>
      <x:c r="E24" s="19" t="str">
        <x:v>Distributed feedback lasers and optical components</x:v>
      </x:c>
      <x:c r="F24" s="30" t="str">
        <x:v>https://www.rp-photonics.com/distributed_feedback_lasers.html</x:v>
      </x:c>
      <x:c r="G24" s="19" t="str">
        <x:v>原理</x:v>
      </x:c>
      <x:c r="H24" s="19" t="str">
        <x:v>Technical reference</x:v>
      </x:c>
      <x:c r="I24" s="19" t="str">
        <x:v>DFB/Bragg grating/laser metrics</x:v>
      </x:c>
      <x:c r="J24" s="19" t="str">
        <x:v>中</x:v>
      </x:c>
      <x:c r="K24" s="19" t="str"/>
    </x:row>
    <x:row r="25" ht="24" hidden="0" customHeight="1">
      <x:c r="A25" s="19" t="str">
        <x:v>S21</x:v>
      </x:c>
      <x:c r="B25" s="19" t="str">
        <x:v>IMEC</x:v>
      </x:c>
      <x:c r="C25" s="19" t="str">
        <x:v>技术平台资料</x:v>
      </x:c>
      <x:c r="D25" s="19" t="str">
        <x:v>访问于2026-08-18</x:v>
      </x:c>
      <x:c r="E25" s="19" t="str">
        <x:v>Silicon photonics platform</x:v>
      </x:c>
      <x:c r="F25" s="30" t="str">
        <x:v>https://www.imec-int.com/en/what-we-offer/research-portfolio/silicon-photonics</x:v>
      </x:c>
      <x:c r="G25" s="19" t="str">
        <x:v>平台能力</x:v>
      </x:c>
      <x:c r="H25" s="19" t="str">
        <x:v>Primary technical</x:v>
      </x:c>
      <x:c r="I25" s="19" t="str">
        <x:v>MZM、microring、waveguide、couplers</x:v>
      </x:c>
      <x:c r="J25" s="19" t="str">
        <x:v>中</x:v>
      </x:c>
      <x:c r="K25" s="19" t="str">
        <x:v>平台级，不代表特定模块BOM</x:v>
      </x:c>
    </x:row>
    <x:row r="26" ht="24" hidden="0" customHeight="1">
      <x:c r="A26" s="19" t="str">
        <x:v>S22</x:v>
      </x:c>
      <x:c r="B26" s="19" t="str">
        <x:v>SiFotonics/公开资料索引</x:v>
      </x:c>
      <x:c r="C26" s="19" t="str">
        <x:v>本地公开资料边界</x:v>
      </x:c>
      <x:c r="D26" s="19" t="str">
        <x:v>2026-08</x:v>
      </x:c>
      <x:c r="E26" s="19" t="str">
        <x:v>资料索引与证据边界</x:v>
      </x:c>
      <x:c r="F26" s="30" t="str">
        <x:v>/Users/anthonyhanxiangding/Desktop/高瓴/SiFotonics 希烽光电/公众号和研报 Resource/Codex WIP/资料索引与证据边界.md</x:v>
      </x:c>
      <x:c r="G26" s="19" t="str">
        <x:v>全文</x:v>
      </x:c>
      <x:c r="H26" s="19" t="str">
        <x:v>Audit reference</x:v>
      </x:c>
      <x:c r="I26" s="19" t="str">
        <x:v>Ge/Si与III-V PD路线边界</x:v>
      </x:c>
      <x:c r="J26" s="19" t="str">
        <x:v>中</x:v>
      </x:c>
      <x:c r="K26" s="19" t="str">
        <x:v>行业路线证据不能直接证明特定客户/订单</x:v>
      </x:c>
    </x:row>
    <x:row r="27" ht="15" hidden="0" customHeight="1">
      <x:c r="A27" s="19" t="str">
        <x:v>S23</x:v>
      </x:c>
      <x:c r="B27" s="19" t="str">
        <x:v>IEC/TIA与连接器厂商生态</x:v>
      </x:c>
      <x:c r="C27" s="19" t="str">
        <x:v>标准/产品目录概览</x:v>
      </x:c>
      <x:c r="D27" s="19" t="str">
        <x:v>访问于2026-08-18</x:v>
      </x:c>
      <x:c r="E27" s="19" t="str">
        <x:v>MPO/MTP、LC与光纤基础</x:v>
      </x:c>
      <x:c r="F27" s="30" t="str">
        <x:v>https://www.usconec.com/mt-ferrules/</x:v>
      </x:c>
      <x:c r="G27" s="19" t="str">
        <x:v>产品技术</x:v>
      </x:c>
      <x:c r="H27" s="19" t="str">
        <x:v>Primary vendor</x:v>
      </x:c>
      <x:c r="I27" s="19" t="str">
        <x:v>MT插芯、导针、多芯连接结构</x:v>
      </x:c>
      <x:c r="J27" s="19" t="str">
        <x:v>中</x:v>
      </x:c>
      <x:c r="K27" s="19" t="str">
        <x:v>公开目录价和大客户成交价差异大</x:v>
      </x:c>
    </x:row>
    <x:row r="28" ht="36" hidden="0" customHeight="1">
      <x:c r="A28" s="19" t="str">
        <x:v>S24</x:v>
      </x:c>
      <x:c r="B28" s="19" t="str">
        <x:v>本地文本抽取</x:v>
      </x:c>
      <x:c r="C28" s="19" t="str">
        <x:v>排除项</x:v>
      </x:c>
      <x:c r="D28" s="19" t="str">
        <x:v>2026-02-26</x:v>
      </x:c>
      <x:c r="E28" s="19" t="str">
        <x:v>硅光与800G_1.6T光模块产业链.txt</x:v>
      </x:c>
      <x:c r="F28" s="30" t="str">
        <x:v>/Users/anthonyhanxiangding/Desktop/高瓴/SiFotonics 希烽光电/公众号和研报 Resource/Codex WIP/texts/02_硅光与800G_1.6T光模块产业链_20260226.txt</x:v>
      </x:c>
      <x:c r="G28" s="19" t="str">
        <x:v>开头内容</x:v>
      </x:c>
      <x:c r="H28" s="19" t="str">
        <x:v>Excluded</x:v>
      </x:c>
      <x:c r="I28" s="19" t="str">
        <x:v>不用于任何字段</x:v>
      </x:c>
      <x:c r="J28" s="19" t="str">
        <x:v>低</x:v>
      </x:c>
      <x:c r="K28" s="19" t="str">
        <x:v>文件名与抽取正文不一致，正文出现南孚/安孚电池内容，已排除</x:v>
      </x:c>
    </x:row>
    <x:row r="29" ht="15" hidden="0" customHeight="1">
      <x:c r="A29" s="19" t="str">
        <x:v>S25</x:v>
      </x:c>
      <x:c r="B29" s="19" t="str">
        <x:v>QSFP-DD MSA</x:v>
      </x:c>
      <x:c r="C29" s="19" t="str">
        <x:v>Form-factor MSA</x:v>
      </x:c>
      <x:c r="D29" s="19" t="str">
        <x:v>访问于2026-08-18</x:v>
      </x:c>
      <x:c r="E29" s="19" t="str">
        <x:v>QSFP-DD/QSFP-DD800</x:v>
      </x:c>
      <x:c r="F29" s="30" t="str">
        <x:v>https://www.qsfp-dd.com/</x:v>
      </x:c>
      <x:c r="G29" s="19" t="str">
        <x:v>MSA documents</x:v>
      </x:c>
      <x:c r="H29" s="19" t="str">
        <x:v>Primary MSA</x:v>
      </x:c>
      <x:c r="I29" s="19" t="str">
        <x:v>QSFP-DD形态与管理边界</x:v>
      </x:c>
      <x:c r="J29" s="19" t="str">
        <x:v>高</x:v>
      </x:c>
      <x:c r="K29" s="19" t="str"/>
    </x:row>
    <x:row r="30" ht="15" hidden="0" customHeight="1">
      <x:c r="A30" s="19" t="str">
        <x:v>S26</x:v>
      </x:c>
      <x:c r="B30" s="19" t="str">
        <x:v>IEEE</x:v>
      </x:c>
      <x:c r="C30" s="19" t="str">
        <x:v>标准</x:v>
      </x:c>
      <x:c r="D30" s="19" t="str">
        <x:v>访问于2026-08-18</x:v>
      </x:c>
      <x:c r="E30" s="19" t="str">
        <x:v>IEEE 802.3 Ethernet standards</x:v>
      </x:c>
      <x:c r="F30" s="30" t="str">
        <x:v>https://standards.ieee.org/standard/802_3-2022.html</x:v>
      </x:c>
      <x:c r="G30" s="19" t="str">
        <x:v>PMD标准族</x:v>
      </x:c>
      <x:c r="H30" s="19" t="str">
        <x:v>Primary standard</x:v>
      </x:c>
      <x:c r="I30" s="19" t="str">
        <x:v>DR/FR/LR/SR等PMD语境</x:v>
      </x:c>
      <x:c r="J30" s="19" t="str">
        <x:v>高</x:v>
      </x:c>
      <x:c r="K30" s="19" t="str">
        <x:v>具体条款需按标准版本核对</x:v>
      </x:c>
    </x:row>
    <x:row r="31" ht="36" hidden="0" customHeight="1">
      <x:c r="A31" s="19" t="str">
        <x:v>S27</x:v>
      </x:c>
      <x:c r="B31" s="19" t="str">
        <x:v>Intel</x:v>
      </x:c>
      <x:c r="C31" s="19" t="str">
        <x:v>厂商产品页</x:v>
      </x:c>
      <x:c r="D31" s="19" t="str">
        <x:v>访问于2026-08-18</x:v>
      </x:c>
      <x:c r="E31" s="19" t="str">
        <x:v>Intel Silicon Photonics 400G DR4 QSFP-DD</x:v>
      </x:c>
      <x:c r="F31" s="30" t="str">
        <x:v>https://www.intel.com/content/www/us/en/products/sku/135329/intel-silicon-photonics-400g-dr4-qsfpdd-optical-transceiver/specifications.html</x:v>
      </x:c>
      <x:c r="G31" s="19" t="str">
        <x:v>Specifications/Ordering</x:v>
      </x:c>
      <x:c r="H31" s="19" t="str">
        <x:v>Primary</x:v>
      </x:c>
      <x:c r="I31" s="19" t="str">
        <x:v>400GAUI-8、DR4、500m、QSFP-DD、SiPh；平台级片上激光能力</x:v>
      </x:c>
      <x:c r="J31" s="19" t="str">
        <x:v>中</x:v>
      </x:c>
      <x:c r="K31" s="19" t="str">
        <x:v>规格页显示Launched，但Ordering页显示Retired/Discontinued；用于技术路线，不作为当前可采购性证明</x:v>
      </x:c>
    </x:row>
    <x:row r="32" ht="42" customHeight="1">
      <x:c r="A32" s="83" t="str">
        <x:v>S28</x:v>
      </x:c>
      <x:c r="B32" s="82" t="str">
        <x:v>Marvell</x:v>
      </x:c>
      <x:c r="C32" s="82" t="str">
        <x:v>厂商产品页</x:v>
      </x:c>
      <x:c r="D32" s="82" t="str">
        <x:v>访问于2026-08-23</x:v>
      </x:c>
      <x:c r="E32" s="82" t="str">
        <x:v>PAM4 Optical DSPs</x:v>
      </x:c>
      <x:c r="F32" s="84" t="str">
        <x:v>https://www.marvell.com/products/pam-dsp.html</x:v>
      </x:c>
      <x:c r="G32" s="82" t="str">
        <x:v>产品族与集成功能</x:v>
      </x:c>
      <x:c r="H32" s="82" t="str">
        <x:v>Primary</x:v>
      </x:c>
      <x:c r="I32" s="82" t="str">
        <x:v>400G/800G/1.6T DSP、Gearbox、集成TIA/Driver</x:v>
      </x:c>
      <x:c r="J32" s="82" t="str">
        <x:v>高</x:v>
      </x:c>
      <x:c r="K32" s="82" t="str">
        <x:v>用于供应商与功能核验，不用于单价</x:v>
      </x:c>
    </x:row>
    <x:row r="33" ht="42" customHeight="1">
      <x:c r="A33" s="83" t="str">
        <x:v>S29</x:v>
      </x:c>
      <x:c r="B33" s="82" t="str">
        <x:v>Broadcom</x:v>
      </x:c>
      <x:c r="C33" s="82" t="str">
        <x:v>厂商产品指南</x:v>
      </x:c>
      <x:c r="D33" s="82" t="str">
        <x:v>访问于2026-08-23</x:v>
      </x:c>
      <x:c r="E33" s="82" t="str">
        <x:v>100G to 1.6T Optical Module PHY Product Selection Guide</x:v>
      </x:c>
      <x:c r="F33" s="84" t="str">
        <x:v>https://docs.broadcom.com/doc/BC-0605EN</x:v>
      </x:c>
      <x:c r="G33" s="82" t="str">
        <x:v>产品选型表</x:v>
      </x:c>
      <x:c r="H33" s="82" t="str">
        <x:v>Primary</x:v>
      </x:c>
      <x:c r="I33" s="82" t="str">
        <x:v>400G/800G/1.6T DSP、EML与SiPh适配、集成TIA/Driver</x:v>
      </x:c>
      <x:c r="J33" s="82" t="str">
        <x:v>高</x:v>
      </x:c>
      <x:c r="K33" s="82" t="str">
        <x:v>产品族证据，不代表特定模块定点</x:v>
      </x:c>
    </x:row>
    <x:row r="34" ht="42" customHeight="1">
      <x:c r="A34" s="83" t="str">
        <x:v>S30</x:v>
      </x:c>
      <x:c r="B34" s="82" t="str">
        <x:v>Broadcom</x:v>
      </x:c>
      <x:c r="C34" s="82" t="str">
        <x:v>厂商新闻/产品资料</x:v>
      </x:c>
      <x:c r="D34" s="82" t="str">
        <x:v>2025-02-27与2026-03-11</x:v>
      </x:c>
      <x:c r="E34" s="82" t="str">
        <x:v>200G/lane Sian3/Sian2M与400G/lane Taurus</x:v>
      </x:c>
      <x:c r="F34" s="84" t="str">
        <x:v>https://investors.broadcom.com/news-releases/news-release-details/broadcom-extends-200glane-dsp-phy-leadership-next-generation-ai</x:v>
      </x:c>
      <x:c r="G34" s="82" t="str">
        <x:v>正文</x:v>
      </x:c>
      <x:c r="H34" s="82" t="str">
        <x:v>Primary</x:v>
      </x:c>
      <x:c r="I34" s="82" t="str">
        <x:v>DSP、200G VCSEL、200G EML/CWL与1.6T/3.2T演进</x:v>
      </x:c>
      <x:c r="J34" s="82" t="str">
        <x:v>高</x:v>
      </x:c>
      <x:c r="K34" s="82" t="str">
        <x:v>技术与产品能力，不用于市场份额</x:v>
      </x:c>
    </x:row>
    <x:row r="35" ht="42" customHeight="1">
      <x:c r="A35" s="83" t="str">
        <x:v>S31</x:v>
      </x:c>
      <x:c r="B35" s="82" t="str">
        <x:v>Lumentum</x:v>
      </x:c>
      <x:c r="C35" s="82" t="str">
        <x:v>厂商产品页</x:v>
      </x:c>
      <x:c r="D35" s="82" t="str">
        <x:v>访问于2026-08-23</x:v>
      </x:c>
      <x:c r="E35" s="82" t="str">
        <x:v>100G and 200G EMLs</x:v>
      </x:c>
      <x:c r="F35" s="84" t="str">
        <x:v>https://www.lumentum.com/en/products/data-center/modulated-lasers/emls</x:v>
      </x:c>
      <x:c r="G35" s="82" t="str">
        <x:v>产品说明</x:v>
      </x:c>
      <x:c r="H35" s="82" t="str">
        <x:v>Primary</x:v>
      </x:c>
      <x:c r="I35" s="82" t="str">
        <x:v>400G/800G/1.6T EML供应生态</x:v>
      </x:c>
      <x:c r="J35" s="82" t="str">
        <x:v>高</x:v>
      </x:c>
      <x:c r="K35" s="82" t="str">
        <x:v>官网未公开成交价</x:v>
      </x:c>
    </x:row>
    <x:row r="36" ht="42" customHeight="1">
      <x:c r="A36" s="83" t="str">
        <x:v>S32</x:v>
      </x:c>
      <x:c r="B36" s="82" t="str">
        <x:v>Coherent</x:v>
      </x:c>
      <x:c r="C36" s="82" t="str">
        <x:v>厂商产品页</x:v>
      </x:c>
      <x:c r="D36" s="82" t="str">
        <x:v>访问于2026-08-23</x:v>
      </x:c>
      <x:c r="E36" s="82" t="str">
        <x:v>Datacom VCSEL and Photodiodes</x:v>
      </x:c>
      <x:c r="F36" s="84" t="str">
        <x:v>https://www.coherent.com/networking/optoelectronic-devices/datacom-vcsel-photodiodes</x:v>
      </x:c>
      <x:c r="G36" s="82" t="str">
        <x:v>产品规格</x:v>
      </x:c>
      <x:c r="H36" s="82" t="str">
        <x:v>Primary</x:v>
      </x:c>
      <x:c r="I36" s="82" t="str">
        <x:v>850nm VCSEL与1/4/12通道PD阵列</x:v>
      </x:c>
      <x:c r="J36" s="82" t="str">
        <x:v>高</x:v>
      </x:c>
      <x:c r="K36" s="82" t="str">
        <x:v>官网未公开成交价</x:v>
      </x:c>
    </x:row>
    <x:row r="37" ht="42" customHeight="1">
      <x:c r="A37" s="83" t="str">
        <x:v>S33</x:v>
      </x:c>
      <x:c r="B37" s="82" t="str">
        <x:v>MACOM</x:v>
      </x:c>
      <x:c r="C37" s="82" t="str">
        <x:v>厂商新闻/演示</x:v>
      </x:c>
      <x:c r="D37" s="82" t="str">
        <x:v>2023-02-28</x:v>
      </x:c>
      <x:c r="E37" s="82" t="str">
        <x:v>100G/lane Linear Drive Optical Link</x:v>
      </x:c>
      <x:c r="F37" s="84" t="str">
        <x:v>https://ir.macom.com/news-releases/news-release-details/macom-demonstrate-100glane-high-speed-optical-link-linear-drive</x:v>
      </x:c>
      <x:c r="G37" s="82" t="str">
        <x:v>正文</x:v>
      </x:c>
      <x:c r="H37" s="82" t="str">
        <x:v>Primary</x:v>
      </x:c>
      <x:c r="I37" s="82" t="str">
        <x:v>LPO中的线性TIA与Laser Driver</x:v>
      </x:c>
      <x:c r="J37" s="82" t="str">
        <x:v>高</x:v>
      </x:c>
      <x:c r="K37" s="82" t="str">
        <x:v>演示不等同于所有量产模块采用</x:v>
      </x:c>
    </x:row>
    <x:row r="38" ht="42" customHeight="1">
      <x:c r="A38" s="83" t="str">
        <x:v>S34</x:v>
      </x:c>
      <x:c r="B38" s="82" t="str">
        <x:v>SENKO</x:v>
      </x:c>
      <x:c r="C38" s="82" t="str">
        <x:v>厂商产品页</x:v>
      </x:c>
      <x:c r="D38" s="82" t="str">
        <x:v>访问于2026-08-23</x:v>
      </x:c>
      <x:c r="E38" s="82" t="str">
        <x:v>MPO-PLUS Series</x:v>
      </x:c>
      <x:c r="F38" s="84" t="str">
        <x:v>https://www.senko.com/mpo-series/</x:v>
      </x:c>
      <x:c r="G38" s="82" t="str">
        <x:v>结构、性能与应用</x:v>
      </x:c>
      <x:c r="H38" s="82" t="str">
        <x:v>Primary</x:v>
      </x:c>
      <x:c r="I38" s="82" t="str">
        <x:v>MPO/MPO16及CPO面板连接生态</x:v>
      </x:c>
      <x:c r="J38" s="82" t="str">
        <x:v>高</x:v>
      </x:c>
      <x:c r="K38" s="82" t="str">
        <x:v>官网未公开大客户成交价</x:v>
      </x:c>
    </x:row>
    <x:row r="39" ht="42" customHeight="1">
      <x:c r="A39" s="83" t="str">
        <x:v>S35</x:v>
      </x:c>
      <x:c r="B39" s="82" t="str">
        <x:v>US Conec</x:v>
      </x:c>
      <x:c r="C39" s="82" t="str">
        <x:v>厂商产品目录</x:v>
      </x:c>
      <x:c r="D39" s="82" t="str">
        <x:v>访问于2026-08-23</x:v>
      </x:c>
      <x:c r="E39" s="82" t="str">
        <x:v>MTP Connectors and MT Ferrules</x:v>
      </x:c>
      <x:c r="F39" s="84" t="str">
        <x:v>https://www.usconec.com/media/2bsp1emu/us-conec-product-catalog.pdf</x:v>
      </x:c>
      <x:c r="G39" s="82" t="str">
        <x:v>MTP/MT章节</x:v>
      </x:c>
      <x:c r="H39" s="82" t="str">
        <x:v>Primary</x:v>
      </x:c>
      <x:c r="I39" s="82" t="str">
        <x:v>MPO/MTP、MT插芯和导针对准结构</x:v>
      </x:c>
      <x:c r="J39" s="82" t="str">
        <x:v>高</x:v>
      </x:c>
      <x:c r="K39" s="82" t="str">
        <x:v>结构证据，不用于成交价</x:v>
      </x:c>
    </x:row>
    <x:row r="40" ht="42" customHeight="1">
      <x:c r="A40" s="83" t="str">
        <x:v>S36</x:v>
      </x:c>
      <x:c r="B40" s="82" t="str">
        <x:v>Mouser与DigiKey</x:v>
      </x:c>
      <x:c r="C40" s="82" t="str">
        <x:v>授权分销目录</x:v>
      </x:c>
      <x:c r="D40" s="82" t="str">
        <x:v>访问于2026-08-23</x:v>
      </x:c>
      <x:c r="E40" s="82" t="str">
        <x:v>Molex MPO/MTP adapters</x:v>
      </x:c>
      <x:c r="F40" s="84" t="str">
        <x:v>https://www.mouser.com/ProductDetail/Molex/106181-0000</x:v>
      </x:c>
      <x:c r="G40" s="82" t="str">
        <x:v>1至500件阶梯价</x:v>
      </x:c>
      <x:c r="H40" s="82" t="str">
        <x:v>Secondary distributor</x:v>
      </x:c>
      <x:c r="I40" s="82" t="str">
        <x:v>MPO/MTP适配器公开目录价$16.51-$43.75</x:v>
      </x:c>
      <x:c r="J40" s="82" t="str">
        <x:v>中</x:v>
      </x:c>
      <x:c r="K40" s="82" t="str">
        <x:v>仅为代表性目录价，不能替代模块BOM或大客户价</x:v>
      </x:c>
    </x:row>
    <x:row r="41" ht="42" customHeight="1">
      <x:c r="A41" s="83" t="str">
        <x:v>S37</x:v>
      </x:c>
      <x:c r="B41" s="82" t="str">
        <x:v>模仿就是妥协</x:v>
      </x:c>
      <x:c r="C41" s="82" t="str">
        <x:v>微信公众号原文PDF</x:v>
      </x:c>
      <x:c r="D41" s="82" t="str">
        <x:v>2026-08-22</x:v>
      </x:c>
      <x:c r="E41" s="82" t="str">
        <x:v>光模块上游光器件BOM总表</x:v>
      </x:c>
      <x:c r="F41" s="84" t="str">
        <x:v>微信公众号/01_光模块上游光器件BOM总表：可插拔、机柜CPO、_内存CPO，三种路线谁值钱一目了然.pdf</x:v>
      </x:c>
      <x:c r="G41" s="82" t="str">
        <x:v>全文</x:v>
      </x:c>
      <x:c r="H41" s="82" t="str">
        <x:v>Lead only</x:v>
      </x:c>
      <x:c r="I41" s="82" t="str">
        <x:v>器件词表与可插拔/CPO光路线索</x:v>
      </x:c>
      <x:c r="J41" s="82" t="str">
        <x:v>低</x:v>
      </x:c>
      <x:c r="K41" s="82" t="str">
        <x:v>公司映射、量产状态和客户关系未直接采信</x:v>
      </x:c>
    </x:row>
    <x:row r="42" ht="42" customHeight="1">
      <x:c r="A42" s="83" t="str">
        <x:v>S38</x:v>
      </x:c>
      <x:c r="B42" s="82" t="str">
        <x:v>芯创投研社</x:v>
      </x:c>
      <x:c r="C42" s="82" t="str">
        <x:v>微信公众号原文PDF</x:v>
      </x:c>
      <x:c r="D42" s="82" t="str">
        <x:v>2026-03-27</x:v>
      </x:c>
      <x:c r="E42" s="82" t="str">
        <x:v>2026年400G/800G/1.6T光模块市场报告</x:v>
      </x:c>
      <x:c r="F42" s="84" t="str">
        <x:v>微信公众号/02_2026年400G_800G_1.6T光模块市场报告：方案、BOM、成本、与TOP20客户.pdf</x:v>
      </x:c>
      <x:c r="G42" s="82" t="str">
        <x:v>全文</x:v>
      </x:c>
      <x:c r="H42" s="82" t="str">
        <x:v>Lead only</x:v>
      </x:c>
      <x:c r="I42" s="82" t="str">
        <x:v>TX/RX文字链路与BOM待核线索</x:v>
      </x:c>
      <x:c r="J42" s="82" t="str">
        <x:v>低</x:v>
      </x:c>
      <x:c r="K42" s="82" t="str">
        <x:v>价格、份额、客户需求和供应商表无原始出处，未写入核实数字</x:v>
      </x:c>
    </x:row>
    <x:row r="43" ht="42" customHeight="1">
      <x:c r="A43" s="83" t="str">
        <x:v>S39</x:v>
      </x:c>
      <x:c r="B43" s="82" t="str">
        <x:v>Lumentum</x:v>
      </x:c>
      <x:c r="C43" s="82" t="str">
        <x:v>厂商产品页</x:v>
      </x:c>
      <x:c r="D43" s="82" t="str">
        <x:v>访问于2026-08-23</x:v>
      </x:c>
      <x:c r="E43" s="82" t="str">
        <x:v>ELSFP-350 External Laser Source</x:v>
      </x:c>
      <x:c r="F43" s="84" t="str">
        <x:v>https://www.lumentum.com/products/external-laser-source-els-module-ultra-high-power-laser</x:v>
      </x:c>
      <x:c r="G43" s="82" t="str">
        <x:v>产品说明</x:v>
      </x:c>
      <x:c r="H43" s="82" t="str">
        <x:v>Primary</x:v>
      </x:c>
      <x:c r="I43" s="82" t="str">
        <x:v>CPO外置ELSFP、UHP CW激光及可维护性</x:v>
      </x:c>
      <x:c r="J43" s="82" t="str">
        <x:v>高</x:v>
      </x:c>
      <x:c r="K43" s="82" t="str">
        <x:v>官网未公开成交价</x:v>
      </x:c>
    </x:row>
    <x:row r="44" ht="42" customHeight="1">
      <x:c r="A44" s="83" t="str">
        <x:v>S40</x:v>
      </x:c>
      <x:c r="B44" s="82" t="str">
        <x:v>Coherent</x:v>
      </x:c>
      <x:c r="C44" s="82" t="str">
        <x:v>厂商新闻/演示</x:v>
      </x:c>
      <x:c r="D44" s="82" t="str">
        <x:v>2026-03-17</x:v>
      </x:c>
      <x:c r="E44" s="82" t="str">
        <x:v>CPO Technologies at OFC 2026</x:v>
      </x:c>
      <x:c r="F44" s="84" t="str">
        <x:v>https://www.coherent.com/news/press-releases/coherent-co-packaged-optics-cpo-technologies-ofc-2026</x:v>
      </x:c>
      <x:c r="G44" s="82" t="str">
        <x:v>正文</x:v>
      </x:c>
      <x:c r="H44" s="82" t="str">
        <x:v>Primary</x:v>
      </x:c>
      <x:c r="I44" s="82" t="str">
        <x:v>6.4T SiPh CPO、ELS、VCSEL与400G/lane InP调制</x:v>
      </x:c>
      <x:c r="J44" s="82" t="str">
        <x:v>高</x:v>
      </x:c>
      <x:c r="K44" s="82" t="str">
        <x:v>演示不等同于规模出货</x:v>
      </x:c>
    </x:row>
    <x:row r="45" ht="42" customHeight="1">
      <x:c r="A45" s="83" t="str">
        <x:v>S41</x:v>
      </x:c>
      <x:c r="B45" s="82" t="str">
        <x:v>Corning</x:v>
      </x:c>
      <x:c r="C45" s="82" t="str">
        <x:v>厂商产品页</x:v>
      </x:c>
      <x:c r="D45" s="82" t="str">
        <x:v>访问于2026-08-23</x:v>
      </x:c>
      <x:c r="E45" s="82" t="str">
        <x:v>Ultra Compact Fiber Array Unit</x:v>
      </x:c>
      <x:c r="F45" s="84" t="str">
        <x:v>https://www.corning.com/oem-solutions/worldwide/en/home/products-solutions/optical-communication-components/fiber-arrays/ultra-compact-fiber-array-unit.html</x:v>
      </x:c>
      <x:c r="G45" s="82" t="str">
        <x:v>产品说明</x:v>
      </x:c>
      <x:c r="H45" s="82" t="str">
        <x:v>Primary</x:v>
      </x:c>
      <x:c r="I45" s="82" t="str">
        <x:v>800G以上FAU、边缘/垂直耦合与高密度光纤阵列</x:v>
      </x:c>
      <x:c r="J45" s="82" t="str">
        <x:v>高</x:v>
      </x:c>
      <x:c r="K45" s="82" t="str">
        <x:v>官网未公开成交价</x:v>
      </x:c>
    </x:row>
    <x:row r="46" ht="42" customHeight="1">
      <x:c r="A46" s="83" t="str">
        <x:v>S42</x:v>
      </x:c>
      <x:c r="B46" s="82" t="str">
        <x:v>Semtech</x:v>
      </x:c>
      <x:c r="C46" s="82" t="str">
        <x:v>厂商技术页</x:v>
      </x:c>
      <x:c r="D46" s="82" t="str">
        <x:v>访问于2026-08-23</x:v>
      </x:c>
      <x:c r="E46" s="82" t="str">
        <x:v>FiberEdge and DirectEdge</x:v>
      </x:c>
      <x:c r="F46" s="84" t="str">
        <x:v>https://www.semtech.com/technology/fiberedge-directedge</x:v>
      </x:c>
      <x:c r="G46" s="82" t="str">
        <x:v>100G/200G PMD产品族</x:v>
      </x:c>
      <x:c r="H46" s="82" t="str">
        <x:v>Primary</x:v>
      </x:c>
      <x:c r="I46" s="82" t="str">
        <x:v>800G/1.6T TIA、Laser Driver与LPO</x:v>
      </x:c>
      <x:c r="J46" s="82" t="str">
        <x:v>高</x:v>
      </x:c>
      <x:c r="K46" s="82" t="str">
        <x:v>产品族证据，不代表特定模块定点</x:v>
      </x:c>
    </x:row>
    <x:row r="47" ht="42" customHeight="1">
      <x:c r="A47" s="83" t="str">
        <x:v>S43</x:v>
      </x:c>
      <x:c r="B47" s="82" t="str">
        <x:v>O-Net昂纳科技</x:v>
      </x:c>
      <x:c r="C47" s="82" t="str">
        <x:v>厂商产品页</x:v>
      </x:c>
      <x:c r="D47" s="82" t="str">
        <x:v>访问于2026-08-23</x:v>
      </x:c>
      <x:c r="E47" s="82" t="str">
        <x:v>Fiber Array Unit</x:v>
      </x:c>
      <x:c r="F47" s="84" t="str">
        <x:v>https://www.o-netcom.com/prod_view.aspx?FId=t3%3A95%3A3&amp;Id=337&amp;TypeId=95</x:v>
      </x:c>
      <x:c r="G47" s="82" t="str">
        <x:v>产品说明</x:v>
      </x:c>
      <x:c r="H47" s="82" t="str">
        <x:v>Primary</x:v>
      </x:c>
      <x:c r="I47" s="82" t="str">
        <x:v>SiPh、高速模块与CPO FAU</x:v>
      </x:c>
      <x:c r="J47" s="82" t="str">
        <x:v>高</x:v>
      </x:c>
      <x:c r="K47" s="82" t="str">
        <x:v>官网未公开成交价</x:v>
      </x:c>
    </x:row>
    <x:row r="48" ht="42" customHeight="1">
      <x:c r="A48" s="83" t="str">
        <x:v>S44</x:v>
      </x:c>
      <x:c r="B48" s="82" t="str">
        <x:v>Advanced Fiber Resources</x:v>
      </x:c>
      <x:c r="C48" s="82" t="str">
        <x:v>厂商产品页</x:v>
      </x:c>
      <x:c r="D48" s="82" t="str">
        <x:v>访问于2026-08-23</x:v>
      </x:c>
      <x:c r="E48" s="82" t="str">
        <x:v>FAU Edge Coupling</x:v>
      </x:c>
      <x:c r="F48" s="84" t="str">
        <x:v>https://www.fiber-resources.com/FiberArray/470.html</x:v>
      </x:c>
      <x:c r="G48" s="82" t="str">
        <x:v>产品说明</x:v>
      </x:c>
      <x:c r="H48" s="82" t="str">
        <x:v>Primary</x:v>
      </x:c>
      <x:c r="I48" s="82" t="str">
        <x:v>SiPh/CPO边缘耦合FAU</x:v>
      </x:c>
      <x:c r="J48" s="82" t="str">
        <x:v>高</x:v>
      </x:c>
      <x:c r="K48" s="82" t="str">
        <x:v>官网未公开成交价</x:v>
      </x:c>
    </x:row>
    <x:row r="49" ht="42" customHeight="1">
      <x:c r="A49" s="83" t="str">
        <x:v>S45</x:v>
      </x:c>
      <x:c r="B49" s="82" t="str">
        <x:v>System Plus Consulting</x:v>
      </x:c>
      <x:c r="C49" s="82" t="str">
        <x:v>公开拆机报告样本</x:v>
      </x:c>
      <x:c r="D49" s="82" t="str">
        <x:v>2021-01</x:v>
      </x:c>
      <x:c r="E49" s="82" t="str">
        <x:v>InnoLight 400G QSFP-DD Optical Transceiver Teardown</x:v>
      </x:c>
      <x:c r="F49" s="84" t="str">
        <x:v>https://www.slideshare.net/slideshow/innolights-400g-qsfpdd-optical-transceiver-242537043/242537043</x:v>
      </x:c>
      <x:c r="G49" s="82" t="str">
        <x:v>公开样本页</x:v>
      </x:c>
      <x:c r="H49" s="82" t="str">
        <x:v>Secondary teardown</x:v>
      </x:c>
      <x:c r="I49" s="82" t="str">
        <x:v>模块内部PCB、DSP、Driver、EML、PD、TIA与光路位置参考</x:v>
      </x:c>
      <x:c r="J49" s="82" t="str">
        <x:v>中</x:v>
      </x:c>
      <x:c r="K49" s="82" t="str">
        <x:v>用于产品结构图位置参考，不用于当前器件单价</x:v>
      </x:c>
    </x:row>
    <x:row r="50" ht="42" customHeight="1">
      <x:c r="A50" s="83" t="str">
        <x:v>S46</x:v>
      </x:c>
      <x:c r="B50" s="82" t="str">
        <x:v>巨潮资讯网/上市公司交流记录</x:v>
      </x:c>
      <x:c r="C50" s="82" t="str">
        <x:v>2022-06-22</x:v>
      </x:c>
      <x:c r="D50" s="82" t="str">
        <x:v>访问于2026-08-23</x:v>
      </x:c>
      <x:c r="E50" s="82" t="str">
        <x:v>光通信器件价格交流记录</x:v>
      </x:c>
      <x:c r="F50" s="84" t="str">
        <x:v>https://static.cninfo.com.cn/finalpage/2022-06-22/1213788564.PDF</x:v>
      </x:c>
      <x:c r="G50" s="82" t="str">
        <x:v>投资者交流问答</x:v>
      </x:c>
      <x:c r="H50" s="82" t="str">
        <x:v>Primary issuer transcript</x:v>
      </x:c>
      <x:c r="I50" s="82" t="str">
        <x:v>历史DML约$3-$4、EML约$8-$12的价格锚点</x:v>
      </x:c>
      <x:c r="J50" s="82" t="str">
        <x:v>中</x:v>
      </x:c>
      <x:c r="K50" s="82" t="str">
        <x:v>较早期价格，只作为区间下沿与数量级校验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5ecf9a3bf8e1499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10" hidden="0" customWidth="1"/>
    <x:col min="4" max="4" width="14" hidden="0" customWidth="1"/>
    <x:col min="5" max="5" width="14" hidden="0" customWidth="1"/>
    <x:col min="6" max="6" width="12" hidden="0" customWidth="1"/>
    <x:col min="7" max="7" width="22" hidden="0" customWidth="1"/>
    <x:col min="8" max="8" width="16" hidden="0" customWidth="1"/>
    <x:col min="9" max="9" width="10" hidden="0" customWidth="1"/>
    <x:col min="10" max="10" width="52" hidden="0" customWidth="1"/>
  </x:cols>
  <x:sheetData>
    <x:row r="1">
      <x:c r="A1" s="86" t="str">
        <x:v>器件价格区间：按400G、800G、1.6T、3.2T区分</x:v>
      </x:c>
      <x:c r="B1" s="86"/>
      <x:c r="C1" s="86"/>
      <x:c r="D1" s="86"/>
      <x:c r="E1" s="86"/>
      <x:c r="F1" s="86"/>
      <x:c r="G1" s="86"/>
      <x:c r="H1" s="86"/>
      <x:c r="I1" s="86"/>
      <x:c r="J1" s="86"/>
    </x:row>
    <x:row r="2">
      <x:c r="A2" s="88" t="str">
        <x:v>行业建模区间用于理解BOM数量级；公开目录价单独标识；微结构与集成功能包含在上级器件成本中，不重复计价</x:v>
      </x:c>
      <x:c r="B2" s="88"/>
      <x:c r="C2" s="88"/>
      <x:c r="D2" s="88"/>
      <x:c r="E2" s="88"/>
      <x:c r="F2" s="88"/>
      <x:c r="G2" s="88"/>
      <x:c r="H2" s="88"/>
      <x:c r="I2" s="88"/>
      <x:c r="J2" s="88"/>
    </x:row>
    <x:row r="3">
      <x:c r="A3" t="str">
        <x:v>← 返回‘00_型号选择器’工作表</x:v>
      </x:c>
    </x:row>
    <x:row r="4" ht="32" customHeight="1">
      <x:c r="A4" s="91" t="str">
        <x:v>Component_ID</x:v>
      </x:c>
      <x:c r="B4" s="91" t="str">
        <x:v>器件</x:v>
      </x:c>
      <x:c r="C4" s="91" t="str">
        <x:v>总速率</x:v>
      </x:c>
      <x:c r="D4" s="91" t="str">
        <x:v>估算低价($)</x:v>
      </x:c>
      <x:c r="E4" s="91" t="str">
        <x:v>估算高价($)</x:v>
      </x:c>
      <x:c r="F4" s="91" t="str">
        <x:v>单位</x:v>
      </x:c>
      <x:c r="G4" s="91" t="str">
        <x:v>展示口径</x:v>
      </x:c>
      <x:c r="H4" s="91" t="str">
        <x:v>Source_ID</x:v>
      </x:c>
      <x:c r="I4" s="91" t="str">
        <x:v>置信度</x:v>
      </x:c>
      <x:c r="J4" s="91" t="str">
        <x:v>说明</x:v>
      </x:c>
    </x:row>
    <x:row r="5">
      <x:c r="A5" s="94" t="str">
        <x:v>C001</x:v>
      </x:c>
      <x:c r="B5" s="94" t="str">
        <x:v>金属外壳</x:v>
      </x:c>
      <x:c r="C5" s="94" t="str">
        <x:v>400G</x:v>
      </x:c>
      <x:c r="D5" s="97" t="n">
        <x:v>5</x:v>
      </x:c>
      <x:c r="E5" s="97" t="n">
        <x:v>15</x:v>
      </x:c>
      <x:c r="F5" s="94" t="str">
        <x:v>件</x:v>
      </x:c>
      <x:c r="G5" s="94" t="str">
        <x:v>行业建模区间</x:v>
      </x:c>
      <x:c r="H5" s="94" t="str">
        <x:v>S16;S38;S46</x:v>
      </x:c>
      <x:c r="I5" s="94" t="str">
        <x:v>低</x:v>
      </x:c>
      <x:c r="J5" s="94" t="str">
        <x:v>由公开BOM样本、历史价格锚点及模块ASP约束形成的情景区间</x:v>
      </x:c>
    </x:row>
    <x:row r="6">
      <x:c r="A6" s="95" t="str">
        <x:v>C001</x:v>
      </x:c>
      <x:c r="B6" s="95" t="str">
        <x:v>金属外壳</x:v>
      </x:c>
      <x:c r="C6" s="95" t="str">
        <x:v>800G</x:v>
      </x:c>
      <x:c r="D6" s="98" t="n">
        <x:v>8</x:v>
      </x:c>
      <x:c r="E6" s="98" t="n">
        <x:v>20</x:v>
      </x:c>
      <x:c r="F6" s="95" t="str">
        <x:v>件</x:v>
      </x:c>
      <x:c r="G6" s="95" t="str">
        <x:v>行业建模区间</x:v>
      </x:c>
      <x:c r="H6" s="95" t="str">
        <x:v>S16;S38;S46</x:v>
      </x:c>
      <x:c r="I6" s="95" t="str">
        <x:v>低</x:v>
      </x:c>
      <x:c r="J6" s="95" t="str">
        <x:v>由公开BOM样本、历史价格锚点及模块ASP约束形成的情景区间</x:v>
      </x:c>
    </x:row>
    <x:row r="7">
      <x:c r="A7" s="95" t="str">
        <x:v>C001</x:v>
      </x:c>
      <x:c r="B7" s="95" t="str">
        <x:v>金属外壳</x:v>
      </x:c>
      <x:c r="C7" s="95" t="str">
        <x:v>1.6T</x:v>
      </x:c>
      <x:c r="D7" s="98" t="n">
        <x:v>12</x:v>
      </x:c>
      <x:c r="E7" s="98" t="n">
        <x:v>30</x:v>
      </x:c>
      <x:c r="F7" s="95" t="str">
        <x:v>件</x:v>
      </x:c>
      <x:c r="G7" s="95" t="str">
        <x:v>行业建模区间</x:v>
      </x:c>
      <x:c r="H7" s="95" t="str">
        <x:v>S16;S38;S46</x:v>
      </x:c>
      <x:c r="I7" s="95" t="str">
        <x:v>低</x:v>
      </x:c>
      <x:c r="J7" s="95" t="str">
        <x:v>由公开BOM样本、历史价格锚点及模块ASP约束形成的情景区间</x:v>
      </x:c>
    </x:row>
    <x:row r="8">
      <x:c r="A8" s="95" t="str">
        <x:v>C001</x:v>
      </x:c>
      <x:c r="B8" s="95" t="str">
        <x:v>金属外壳</x:v>
      </x:c>
      <x:c r="C8" s="95" t="str">
        <x:v>3.2T</x:v>
      </x:c>
      <x:c r="D8" s="98" t="n">
        <x:v>25</x:v>
      </x:c>
      <x:c r="E8" s="98" t="n">
        <x:v>80</x:v>
      </x:c>
      <x:c r="F8" s="95" t="str">
        <x:v>件</x:v>
      </x:c>
      <x:c r="G8" s="95" t="str">
        <x:v>行业建模区间</x:v>
      </x:c>
      <x:c r="H8" s="95" t="str">
        <x:v>S16;S38</x:v>
      </x:c>
      <x:c r="I8" s="95" t="str">
        <x:v>低</x:v>
      </x:c>
      <x:c r="J8" s="95" t="str">
        <x:v>由公开BOM样本、历史价格锚点及模块ASP约束形成的情景区间</x:v>
      </x:c>
    </x:row>
    <x:row r="9">
      <x:c r="A9" s="95" t="str">
        <x:v>C002</x:v>
      </x:c>
      <x:c r="B9" s="95" t="str">
        <x:v>散热器</x:v>
      </x:c>
      <x:c r="C9" s="95" t="str">
        <x:v>400G</x:v>
      </x:c>
      <x:c r="D9" s="98" t="n">
        <x:v>3</x:v>
      </x:c>
      <x:c r="E9" s="98" t="n">
        <x:v>10</x:v>
      </x:c>
      <x:c r="F9" s="95" t="str">
        <x:v>件</x:v>
      </x:c>
      <x:c r="G9" s="95" t="str">
        <x:v>行业建模区间</x:v>
      </x:c>
      <x:c r="H9" s="95" t="str">
        <x:v>S16;S38;S46</x:v>
      </x:c>
      <x:c r="I9" s="95" t="str">
        <x:v>低</x:v>
      </x:c>
      <x:c r="J9" s="95" t="str">
        <x:v>由公开BOM样本、历史价格锚点及模块ASP约束形成的情景区间</x:v>
      </x:c>
    </x:row>
    <x:row r="10">
      <x:c r="A10" s="95" t="str">
        <x:v>C002</x:v>
      </x:c>
      <x:c r="B10" s="95" t="str">
        <x:v>散热器</x:v>
      </x:c>
      <x:c r="C10" s="95" t="str">
        <x:v>800G</x:v>
      </x:c>
      <x:c r="D10" s="98" t="n">
        <x:v>5</x:v>
      </x:c>
      <x:c r="E10" s="98" t="n">
        <x:v>15</x:v>
      </x:c>
      <x:c r="F10" s="95" t="str">
        <x:v>件</x:v>
      </x:c>
      <x:c r="G10" s="95" t="str">
        <x:v>行业建模区间</x:v>
      </x:c>
      <x:c r="H10" s="95" t="str">
        <x:v>S16;S38;S46</x:v>
      </x:c>
      <x:c r="I10" s="95" t="str">
        <x:v>低</x:v>
      </x:c>
      <x:c r="J10" s="95" t="str">
        <x:v>由公开BOM样本、历史价格锚点及模块ASP约束形成的情景区间</x:v>
      </x:c>
    </x:row>
    <x:row r="11">
      <x:c r="A11" s="95" t="str">
        <x:v>C002</x:v>
      </x:c>
      <x:c r="B11" s="95" t="str">
        <x:v>散热器</x:v>
      </x:c>
      <x:c r="C11" s="95" t="str">
        <x:v>1.6T</x:v>
      </x:c>
      <x:c r="D11" s="98" t="n">
        <x:v>8</x:v>
      </x:c>
      <x:c r="E11" s="98" t="n">
        <x:v>25</x:v>
      </x:c>
      <x:c r="F11" s="95" t="str">
        <x:v>件</x:v>
      </x:c>
      <x:c r="G11" s="95" t="str">
        <x:v>行业建模区间</x:v>
      </x:c>
      <x:c r="H11" s="95" t="str">
        <x:v>S16;S38;S46</x:v>
      </x:c>
      <x:c r="I11" s="95" t="str">
        <x:v>低</x:v>
      </x:c>
      <x:c r="J11" s="95" t="str">
        <x:v>由公开BOM样本、历史价格锚点及模块ASP约束形成的情景区间</x:v>
      </x:c>
    </x:row>
    <x:row r="12">
      <x:c r="A12" s="95" t="str">
        <x:v>C002</x:v>
      </x:c>
      <x:c r="B12" s="95" t="str">
        <x:v>散热器</x:v>
      </x:c>
      <x:c r="C12" s="95" t="str">
        <x:v>3.2T</x:v>
      </x:c>
      <x:c r="D12" s="98" t="n">
        <x:v>20</x:v>
      </x:c>
      <x:c r="E12" s="98" t="n">
        <x:v>80</x:v>
      </x:c>
      <x:c r="F12" s="95" t="str">
        <x:v>件</x:v>
      </x:c>
      <x:c r="G12" s="95" t="str">
        <x:v>行业建模区间</x:v>
      </x:c>
      <x:c r="H12" s="95" t="str">
        <x:v>S16;S38</x:v>
      </x:c>
      <x:c r="I12" s="95" t="str">
        <x:v>低</x:v>
      </x:c>
      <x:c r="J12" s="95" t="str">
        <x:v>由公开BOM样本、历史价格锚点及模块ASP约束形成的情景区间</x:v>
      </x:c>
    </x:row>
    <x:row r="13">
      <x:c r="A13" s="95" t="str">
        <x:v>C003</x:v>
      </x:c>
      <x:c r="B13" s="95" t="str">
        <x:v>拉环与锁扣</x:v>
      </x:c>
      <x:c r="C13" s="95" t="str">
        <x:v>400G</x:v>
      </x:c>
      <x:c r="D13" s="98" t="n">
        <x:v>1</x:v>
      </x:c>
      <x:c r="E13" s="98" t="n">
        <x:v>4</x:v>
      </x:c>
      <x:c r="F13" s="95" t="str">
        <x:v>套</x:v>
      </x:c>
      <x:c r="G13" s="95" t="str">
        <x:v>行业建模区间</x:v>
      </x:c>
      <x:c r="H13" s="95" t="str">
        <x:v>S16;S38;S46</x:v>
      </x:c>
      <x:c r="I13" s="95" t="str">
        <x:v>低</x:v>
      </x:c>
      <x:c r="J13" s="95" t="str">
        <x:v>由公开BOM样本、历史价格锚点及模块ASP约束形成的情景区间</x:v>
      </x:c>
    </x:row>
    <x:row r="14">
      <x:c r="A14" s="95" t="str">
        <x:v>C003</x:v>
      </x:c>
      <x:c r="B14" s="95" t="str">
        <x:v>拉环与锁扣</x:v>
      </x:c>
      <x:c r="C14" s="95" t="str">
        <x:v>800G</x:v>
      </x:c>
      <x:c r="D14" s="98" t="n">
        <x:v>1</x:v>
      </x:c>
      <x:c r="E14" s="98" t="n">
        <x:v>5</x:v>
      </x:c>
      <x:c r="F14" s="95" t="str">
        <x:v>套</x:v>
      </x:c>
      <x:c r="G14" s="95" t="str">
        <x:v>行业建模区间</x:v>
      </x:c>
      <x:c r="H14" s="95" t="str">
        <x:v>S16;S38;S46</x:v>
      </x:c>
      <x:c r="I14" s="95" t="str">
        <x:v>低</x:v>
      </x:c>
      <x:c r="J14" s="95" t="str">
        <x:v>由公开BOM样本、历史价格锚点及模块ASP约束形成的情景区间</x:v>
      </x:c>
    </x:row>
    <x:row r="15">
      <x:c r="A15" s="95" t="str">
        <x:v>C003</x:v>
      </x:c>
      <x:c r="B15" s="95" t="str">
        <x:v>拉环与锁扣</x:v>
      </x:c>
      <x:c r="C15" s="95" t="str">
        <x:v>1.6T</x:v>
      </x:c>
      <x:c r="D15" s="98" t="n">
        <x:v>2</x:v>
      </x:c>
      <x:c r="E15" s="98" t="n">
        <x:v>6</x:v>
      </x:c>
      <x:c r="F15" s="95" t="str">
        <x:v>套</x:v>
      </x:c>
      <x:c r="G15" s="95" t="str">
        <x:v>行业建模区间</x:v>
      </x:c>
      <x:c r="H15" s="95" t="str">
        <x:v>S16;S38;S46</x:v>
      </x:c>
      <x:c r="I15" s="95" t="str">
        <x:v>低</x:v>
      </x:c>
      <x:c r="J15" s="95" t="str">
        <x:v>由公开BOM样本、历史价格锚点及模块ASP约束形成的情景区间</x:v>
      </x:c>
    </x:row>
    <x:row r="16">
      <x:c r="A16" s="95" t="str">
        <x:v>C003</x:v>
      </x:c>
      <x:c r="B16" s="95" t="str">
        <x:v>拉环与锁扣</x:v>
      </x:c>
      <x:c r="C16" s="95" t="str">
        <x:v>3.2T</x:v>
      </x:c>
      <x:c r="D16" s="98" t="n">
        <x:v>3</x:v>
      </x:c>
      <x:c r="E16" s="98" t="n">
        <x:v>10</x:v>
      </x:c>
      <x:c r="F16" s="95" t="str">
        <x:v>套</x:v>
      </x:c>
      <x:c r="G16" s="95" t="str">
        <x:v>行业建模区间</x:v>
      </x:c>
      <x:c r="H16" s="95" t="str">
        <x:v>S16;S38</x:v>
      </x:c>
      <x:c r="I16" s="95" t="str">
        <x:v>低</x:v>
      </x:c>
      <x:c r="J16" s="95" t="str">
        <x:v>由公开BOM样本、历史价格锚点及模块ASP约束形成的情景区间</x:v>
      </x:c>
    </x:row>
    <x:row r="17">
      <x:c r="A17" s="95" t="str">
        <x:v>C004</x:v>
      </x:c>
      <x:c r="B17" s="95" t="str">
        <x:v>EMI垫圈/屏蔽罩</x:v>
      </x:c>
      <x:c r="C17" s="95" t="str">
        <x:v>400G</x:v>
      </x:c>
      <x:c r="D17" s="98" t="n">
        <x:v>0.5</x:v>
      </x:c>
      <x:c r="E17" s="98" t="n">
        <x:v>3</x:v>
      </x:c>
      <x:c r="F17" s="95" t="str">
        <x:v>套</x:v>
      </x:c>
      <x:c r="G17" s="95" t="str">
        <x:v>行业建模区间</x:v>
      </x:c>
      <x:c r="H17" s="95" t="str">
        <x:v>S16;S38;S46</x:v>
      </x:c>
      <x:c r="I17" s="95" t="str">
        <x:v>低</x:v>
      </x:c>
      <x:c r="J17" s="95" t="str">
        <x:v>由公开BOM样本、历史价格锚点及模块ASP约束形成的情景区间</x:v>
      </x:c>
    </x:row>
    <x:row r="18">
      <x:c r="A18" s="95" t="str">
        <x:v>C004</x:v>
      </x:c>
      <x:c r="B18" s="95" t="str">
        <x:v>EMI垫圈/屏蔽罩</x:v>
      </x:c>
      <x:c r="C18" s="95" t="str">
        <x:v>800G</x:v>
      </x:c>
      <x:c r="D18" s="98" t="n">
        <x:v>0.8</x:v>
      </x:c>
      <x:c r="E18" s="98" t="n">
        <x:v>4</x:v>
      </x:c>
      <x:c r="F18" s="95" t="str">
        <x:v>套</x:v>
      </x:c>
      <x:c r="G18" s="95" t="str">
        <x:v>行业建模区间</x:v>
      </x:c>
      <x:c r="H18" s="95" t="str">
        <x:v>S16;S38;S46</x:v>
      </x:c>
      <x:c r="I18" s="95" t="str">
        <x:v>低</x:v>
      </x:c>
      <x:c r="J18" s="95" t="str">
        <x:v>由公开BOM样本、历史价格锚点及模块ASP约束形成的情景区间</x:v>
      </x:c>
    </x:row>
    <x:row r="19">
      <x:c r="A19" s="95" t="str">
        <x:v>C004</x:v>
      </x:c>
      <x:c r="B19" s="95" t="str">
        <x:v>EMI垫圈/屏蔽罩</x:v>
      </x:c>
      <x:c r="C19" s="95" t="str">
        <x:v>1.6T</x:v>
      </x:c>
      <x:c r="D19" s="98" t="n">
        <x:v>1</x:v>
      </x:c>
      <x:c r="E19" s="98" t="n">
        <x:v>5</x:v>
      </x:c>
      <x:c r="F19" s="95" t="str">
        <x:v>套</x:v>
      </x:c>
      <x:c r="G19" s="95" t="str">
        <x:v>行业建模区间</x:v>
      </x:c>
      <x:c r="H19" s="95" t="str">
        <x:v>S16;S38;S46</x:v>
      </x:c>
      <x:c r="I19" s="95" t="str">
        <x:v>低</x:v>
      </x:c>
      <x:c r="J19" s="95" t="str">
        <x:v>由公开BOM样本、历史价格锚点及模块ASP约束形成的情景区间</x:v>
      </x:c>
    </x:row>
    <x:row r="20">
      <x:c r="A20" s="95" t="str">
        <x:v>C004</x:v>
      </x:c>
      <x:c r="B20" s="95" t="str">
        <x:v>EMI垫圈/屏蔽罩</x:v>
      </x:c>
      <x:c r="C20" s="95" t="str">
        <x:v>3.2T</x:v>
      </x:c>
      <x:c r="D20" s="98" t="n">
        <x:v>2</x:v>
      </x:c>
      <x:c r="E20" s="98" t="n">
        <x:v>10</x:v>
      </x:c>
      <x:c r="F20" s="95" t="str">
        <x:v>套</x:v>
      </x:c>
      <x:c r="G20" s="95" t="str">
        <x:v>行业建模区间</x:v>
      </x:c>
      <x:c r="H20" s="95" t="str">
        <x:v>S16;S38</x:v>
      </x:c>
      <x:c r="I20" s="95" t="str">
        <x:v>低</x:v>
      </x:c>
      <x:c r="J20" s="95" t="str">
        <x:v>由公开BOM样本、历史价格锚点及模块ASP约束形成的情景区间</x:v>
      </x:c>
    </x:row>
    <x:row r="21">
      <x:c r="A21" s="95" t="str">
        <x:v>C005</x:v>
      </x:c>
      <x:c r="B21" s="95" t="str">
        <x:v>PCB</x:v>
      </x:c>
      <x:c r="C21" s="95" t="str">
        <x:v>400G</x:v>
      </x:c>
      <x:c r="D21" s="98" t="n">
        <x:v>15</x:v>
      </x:c>
      <x:c r="E21" s="98" t="n">
        <x:v>30</x:v>
      </x:c>
      <x:c r="F21" s="95" t="str">
        <x:v>块</x:v>
      </x:c>
      <x:c r="G21" s="95" t="str">
        <x:v>行业建模区间</x:v>
      </x:c>
      <x:c r="H21" s="95" t="str">
        <x:v>S16;S38;S46</x:v>
      </x:c>
      <x:c r="I21" s="95" t="str">
        <x:v>低</x:v>
      </x:c>
      <x:c r="J21" s="95" t="str">
        <x:v>由公开BOM样本、历史价格锚点及模块ASP约束形成的情景区间</x:v>
      </x:c>
    </x:row>
    <x:row r="22">
      <x:c r="A22" s="95" t="str">
        <x:v>C005</x:v>
      </x:c>
      <x:c r="B22" s="95" t="str">
        <x:v>PCB</x:v>
      </x:c>
      <x:c r="C22" s="95" t="str">
        <x:v>800G</x:v>
      </x:c>
      <x:c r="D22" s="98" t="n">
        <x:v>20</x:v>
      </x:c>
      <x:c r="E22" s="98" t="n">
        <x:v>40</x:v>
      </x:c>
      <x:c r="F22" s="95" t="str">
        <x:v>块</x:v>
      </x:c>
      <x:c r="G22" s="95" t="str">
        <x:v>行业建模区间</x:v>
      </x:c>
      <x:c r="H22" s="95" t="str">
        <x:v>S16;S38;S46</x:v>
      </x:c>
      <x:c r="I22" s="95" t="str">
        <x:v>低</x:v>
      </x:c>
      <x:c r="J22" s="95" t="str">
        <x:v>由公开BOM样本、历史价格锚点及模块ASP约束形成的情景区间</x:v>
      </x:c>
    </x:row>
    <x:row r="23">
      <x:c r="A23" s="95" t="str">
        <x:v>C005</x:v>
      </x:c>
      <x:c r="B23" s="95" t="str">
        <x:v>PCB</x:v>
      </x:c>
      <x:c r="C23" s="95" t="str">
        <x:v>1.6T</x:v>
      </x:c>
      <x:c r="D23" s="98" t="n">
        <x:v>25</x:v>
      </x:c>
      <x:c r="E23" s="98" t="n">
        <x:v>55</x:v>
      </x:c>
      <x:c r="F23" s="95" t="str">
        <x:v>块</x:v>
      </x:c>
      <x:c r="G23" s="95" t="str">
        <x:v>行业建模区间</x:v>
      </x:c>
      <x:c r="H23" s="95" t="str">
        <x:v>S16;S38;S46</x:v>
      </x:c>
      <x:c r="I23" s="95" t="str">
        <x:v>低</x:v>
      </x:c>
      <x:c r="J23" s="95" t="str">
        <x:v>由公开BOM样本、历史价格锚点及模块ASP约束形成的情景区间</x:v>
      </x:c>
    </x:row>
    <x:row r="24">
      <x:c r="A24" s="95" t="str">
        <x:v>C005</x:v>
      </x:c>
      <x:c r="B24" s="95" t="str">
        <x:v>PCB</x:v>
      </x:c>
      <x:c r="C24" s="95" t="str">
        <x:v>3.2T</x:v>
      </x:c>
      <x:c r="D24" s="98" t="n">
        <x:v>40</x:v>
      </x:c>
      <x:c r="E24" s="98" t="n">
        <x:v>120</x:v>
      </x:c>
      <x:c r="F24" s="95" t="str">
        <x:v>块</x:v>
      </x:c>
      <x:c r="G24" s="95" t="str">
        <x:v>行业建模区间</x:v>
      </x:c>
      <x:c r="H24" s="95" t="str">
        <x:v>S16;S38</x:v>
      </x:c>
      <x:c r="I24" s="95" t="str">
        <x:v>低</x:v>
      </x:c>
      <x:c r="J24" s="95" t="str">
        <x:v>由公开BOM样本、历史价格锚点及模块ASP约束形成的情景区间</x:v>
      </x:c>
    </x:row>
    <x:row r="25">
      <x:c r="A25" s="95" t="str">
        <x:v>C006</x:v>
      </x:c>
      <x:c r="B25" s="95" t="str">
        <x:v>FPC/柔性板</x:v>
      </x:c>
      <x:c r="C25" s="95" t="str">
        <x:v>400G</x:v>
      </x:c>
      <x:c r="D25" s="98" t="n">
        <x:v>2</x:v>
      </x:c>
      <x:c r="E25" s="98" t="n">
        <x:v>10</x:v>
      </x:c>
      <x:c r="F25" s="95" t="str">
        <x:v>件</x:v>
      </x:c>
      <x:c r="G25" s="95" t="str">
        <x:v>行业建模区间</x:v>
      </x:c>
      <x:c r="H25" s="95" t="str">
        <x:v>S16;S38;S46</x:v>
      </x:c>
      <x:c r="I25" s="95" t="str">
        <x:v>低</x:v>
      </x:c>
      <x:c r="J25" s="95" t="str">
        <x:v>由公开BOM样本、历史价格锚点及模块ASP约束形成的情景区间</x:v>
      </x:c>
    </x:row>
    <x:row r="26">
      <x:c r="A26" s="95" t="str">
        <x:v>C006</x:v>
      </x:c>
      <x:c r="B26" s="95" t="str">
        <x:v>FPC/柔性板</x:v>
      </x:c>
      <x:c r="C26" s="95" t="str">
        <x:v>800G</x:v>
      </x:c>
      <x:c r="D26" s="98" t="n">
        <x:v>3</x:v>
      </x:c>
      <x:c r="E26" s="98" t="n">
        <x:v>15</x:v>
      </x:c>
      <x:c r="F26" s="95" t="str">
        <x:v>件</x:v>
      </x:c>
      <x:c r="G26" s="95" t="str">
        <x:v>行业建模区间</x:v>
      </x:c>
      <x:c r="H26" s="95" t="str">
        <x:v>S16;S38;S46</x:v>
      </x:c>
      <x:c r="I26" s="95" t="str">
        <x:v>低</x:v>
      </x:c>
      <x:c r="J26" s="95" t="str">
        <x:v>由公开BOM样本、历史价格锚点及模块ASP约束形成的情景区间</x:v>
      </x:c>
    </x:row>
    <x:row r="27">
      <x:c r="A27" s="95" t="str">
        <x:v>C006</x:v>
      </x:c>
      <x:c r="B27" s="95" t="str">
        <x:v>FPC/柔性板</x:v>
      </x:c>
      <x:c r="C27" s="95" t="str">
        <x:v>1.6T</x:v>
      </x:c>
      <x:c r="D27" s="98" t="n">
        <x:v>4</x:v>
      </x:c>
      <x:c r="E27" s="98" t="n">
        <x:v>20</x:v>
      </x:c>
      <x:c r="F27" s="95" t="str">
        <x:v>件</x:v>
      </x:c>
      <x:c r="G27" s="95" t="str">
        <x:v>行业建模区间</x:v>
      </x:c>
      <x:c r="H27" s="95" t="str">
        <x:v>S16;S38;S46</x:v>
      </x:c>
      <x:c r="I27" s="95" t="str">
        <x:v>低</x:v>
      </x:c>
      <x:c r="J27" s="95" t="str">
        <x:v>由公开BOM样本、历史价格锚点及模块ASP约束形成的情景区间</x:v>
      </x:c>
    </x:row>
    <x:row r="28">
      <x:c r="A28" s="95" t="str">
        <x:v>C006</x:v>
      </x:c>
      <x:c r="B28" s="95" t="str">
        <x:v>FPC/柔性板</x:v>
      </x:c>
      <x:c r="C28" s="95" t="str">
        <x:v>3.2T</x:v>
      </x:c>
      <x:c r="D28" s="98" t="n">
        <x:v>8</x:v>
      </x:c>
      <x:c r="E28" s="98" t="n">
        <x:v>40</x:v>
      </x:c>
      <x:c r="F28" s="95" t="str">
        <x:v>件</x:v>
      </x:c>
      <x:c r="G28" s="95" t="str">
        <x:v>行业建模区间</x:v>
      </x:c>
      <x:c r="H28" s="95" t="str">
        <x:v>S16;S38</x:v>
      </x:c>
      <x:c r="I28" s="95" t="str">
        <x:v>低</x:v>
      </x:c>
      <x:c r="J28" s="95" t="str">
        <x:v>由公开BOM样本、历史价格锚点及模块ASP约束形成的情景区间</x:v>
      </x:c>
    </x:row>
    <x:row r="29">
      <x:c r="A29" s="95" t="str">
        <x:v>C007</x:v>
      </x:c>
      <x:c r="B29" s="95" t="str">
        <x:v>光引擎基板</x:v>
      </x:c>
      <x:c r="C29" s="95" t="str">
        <x:v>400G</x:v>
      </x:c>
      <x:c r="D29" s="98" t="n">
        <x:v>5</x:v>
      </x:c>
      <x:c r="E29" s="98" t="n">
        <x:v>25</x:v>
      </x:c>
      <x:c r="F29" s="95" t="str">
        <x:v>件</x:v>
      </x:c>
      <x:c r="G29" s="95" t="str">
        <x:v>行业建模区间</x:v>
      </x:c>
      <x:c r="H29" s="95" t="str">
        <x:v>S16;S38;S46</x:v>
      </x:c>
      <x:c r="I29" s="95" t="str">
        <x:v>低</x:v>
      </x:c>
      <x:c r="J29" s="95" t="str">
        <x:v>由公开BOM样本、历史价格锚点及模块ASP约束形成的情景区间</x:v>
      </x:c>
    </x:row>
    <x:row r="30">
      <x:c r="A30" s="95" t="str">
        <x:v>C007</x:v>
      </x:c>
      <x:c r="B30" s="95" t="str">
        <x:v>光引擎基板</x:v>
      </x:c>
      <x:c r="C30" s="95" t="str">
        <x:v>800G</x:v>
      </x:c>
      <x:c r="D30" s="98" t="n">
        <x:v>10</x:v>
      </x:c>
      <x:c r="E30" s="98" t="n">
        <x:v>40</x:v>
      </x:c>
      <x:c r="F30" s="95" t="str">
        <x:v>件</x:v>
      </x:c>
      <x:c r="G30" s="95" t="str">
        <x:v>行业建模区间</x:v>
      </x:c>
      <x:c r="H30" s="95" t="str">
        <x:v>S16;S38;S46</x:v>
      </x:c>
      <x:c r="I30" s="95" t="str">
        <x:v>低</x:v>
      </x:c>
      <x:c r="J30" s="95" t="str">
        <x:v>由公开BOM样本、历史价格锚点及模块ASP约束形成的情景区间</x:v>
      </x:c>
    </x:row>
    <x:row r="31">
      <x:c r="A31" s="95" t="str">
        <x:v>C007</x:v>
      </x:c>
      <x:c r="B31" s="95" t="str">
        <x:v>光引擎基板</x:v>
      </x:c>
      <x:c r="C31" s="95" t="str">
        <x:v>1.6T</x:v>
      </x:c>
      <x:c r="D31" s="98" t="n">
        <x:v>20</x:v>
      </x:c>
      <x:c r="E31" s="98" t="n">
        <x:v>80</x:v>
      </x:c>
      <x:c r="F31" s="95" t="str">
        <x:v>件</x:v>
      </x:c>
      <x:c r="G31" s="95" t="str">
        <x:v>行业建模区间</x:v>
      </x:c>
      <x:c r="H31" s="95" t="str">
        <x:v>S16;S38;S46</x:v>
      </x:c>
      <x:c r="I31" s="95" t="str">
        <x:v>低</x:v>
      </x:c>
      <x:c r="J31" s="95" t="str">
        <x:v>由公开BOM样本、历史价格锚点及模块ASP约束形成的情景区间</x:v>
      </x:c>
    </x:row>
    <x:row r="32">
      <x:c r="A32" s="95" t="str">
        <x:v>C007</x:v>
      </x:c>
      <x:c r="B32" s="95" t="str">
        <x:v>光引擎基板</x:v>
      </x:c>
      <x:c r="C32" s="95" t="str">
        <x:v>3.2T</x:v>
      </x:c>
      <x:c r="D32" s="98" t="n">
        <x:v>80</x:v>
      </x:c>
      <x:c r="E32" s="98" t="n">
        <x:v>250</x:v>
      </x:c>
      <x:c r="F32" s="95" t="str">
        <x:v>件</x:v>
      </x:c>
      <x:c r="G32" s="95" t="str">
        <x:v>行业建模区间</x:v>
      </x:c>
      <x:c r="H32" s="95" t="str">
        <x:v>S16;S38</x:v>
      </x:c>
      <x:c r="I32" s="95" t="str">
        <x:v>低</x:v>
      </x:c>
      <x:c r="J32" s="95" t="str">
        <x:v>由公开BOM样本、历史价格锚点及模块ASP约束形成的情景区间</x:v>
      </x:c>
    </x:row>
    <x:row r="33">
      <x:c r="A33" s="95" t="str">
        <x:v>C008</x:v>
      </x:c>
      <x:c r="B33" s="95" t="str">
        <x:v>电源管理芯片</x:v>
      </x:c>
      <x:c r="C33" s="95" t="str">
        <x:v>400G</x:v>
      </x:c>
      <x:c r="D33" s="98" t="n">
        <x:v>3</x:v>
      </x:c>
      <x:c r="E33" s="98" t="n">
        <x:v>10</x:v>
      </x:c>
      <x:c r="F33" s="95" t="str">
        <x:v>颗/组</x:v>
      </x:c>
      <x:c r="G33" s="95" t="str">
        <x:v>行业建模区间</x:v>
      </x:c>
      <x:c r="H33" s="95" t="str">
        <x:v>S16;S38;S46</x:v>
      </x:c>
      <x:c r="I33" s="95" t="str">
        <x:v>低</x:v>
      </x:c>
      <x:c r="J33" s="95" t="str">
        <x:v>由公开BOM样本、历史价格锚点及模块ASP约束形成的情景区间</x:v>
      </x:c>
    </x:row>
    <x:row r="34">
      <x:c r="A34" s="95" t="str">
        <x:v>C008</x:v>
      </x:c>
      <x:c r="B34" s="95" t="str">
        <x:v>电源管理芯片</x:v>
      </x:c>
      <x:c r="C34" s="95" t="str">
        <x:v>800G</x:v>
      </x:c>
      <x:c r="D34" s="98" t="n">
        <x:v>4</x:v>
      </x:c>
      <x:c r="E34" s="98" t="n">
        <x:v>15</x:v>
      </x:c>
      <x:c r="F34" s="95" t="str">
        <x:v>颗/组</x:v>
      </x:c>
      <x:c r="G34" s="95" t="str">
        <x:v>行业建模区间</x:v>
      </x:c>
      <x:c r="H34" s="95" t="str">
        <x:v>S16;S38;S46</x:v>
      </x:c>
      <x:c r="I34" s="95" t="str">
        <x:v>低</x:v>
      </x:c>
      <x:c r="J34" s="95" t="str">
        <x:v>由公开BOM样本、历史价格锚点及模块ASP约束形成的情景区间</x:v>
      </x:c>
    </x:row>
    <x:row r="35">
      <x:c r="A35" s="95" t="str">
        <x:v>C008</x:v>
      </x:c>
      <x:c r="B35" s="95" t="str">
        <x:v>电源管理芯片</x:v>
      </x:c>
      <x:c r="C35" s="95" t="str">
        <x:v>1.6T</x:v>
      </x:c>
      <x:c r="D35" s="98" t="n">
        <x:v>5</x:v>
      </x:c>
      <x:c r="E35" s="98" t="n">
        <x:v>20</x:v>
      </x:c>
      <x:c r="F35" s="95" t="str">
        <x:v>颗/组</x:v>
      </x:c>
      <x:c r="G35" s="95" t="str">
        <x:v>行业建模区间</x:v>
      </x:c>
      <x:c r="H35" s="95" t="str">
        <x:v>S16;S38;S46</x:v>
      </x:c>
      <x:c r="I35" s="95" t="str">
        <x:v>低</x:v>
      </x:c>
      <x:c r="J35" s="95" t="str">
        <x:v>由公开BOM样本、历史价格锚点及模块ASP约束形成的情景区间</x:v>
      </x:c>
    </x:row>
    <x:row r="36">
      <x:c r="A36" s="95" t="str">
        <x:v>C008</x:v>
      </x:c>
      <x:c r="B36" s="95" t="str">
        <x:v>电源管理芯片</x:v>
      </x:c>
      <x:c r="C36" s="95" t="str">
        <x:v>3.2T</x:v>
      </x:c>
      <x:c r="D36" s="98" t="n">
        <x:v>10</x:v>
      </x:c>
      <x:c r="E36" s="98" t="n">
        <x:v>40</x:v>
      </x:c>
      <x:c r="F36" s="95" t="str">
        <x:v>颗/组</x:v>
      </x:c>
      <x:c r="G36" s="95" t="str">
        <x:v>行业建模区间</x:v>
      </x:c>
      <x:c r="H36" s="95" t="str">
        <x:v>S16;S38</x:v>
      </x:c>
      <x:c r="I36" s="95" t="str">
        <x:v>低</x:v>
      </x:c>
      <x:c r="J36" s="95" t="str">
        <x:v>由公开BOM样本、历史价格锚点及模块ASP约束形成的情景区间</x:v>
      </x:c>
    </x:row>
    <x:row r="37">
      <x:c r="A37" s="95" t="str">
        <x:v>C009</x:v>
      </x:c>
      <x:c r="B37" s="95" t="str">
        <x:v>CMIS EEPROM</x:v>
      </x:c>
      <x:c r="C37" s="95" t="str">
        <x:v>400G</x:v>
      </x:c>
      <x:c r="D37" s="98" t="n">
        <x:v>0.5</x:v>
      </x:c>
      <x:c r="E37" s="98" t="n">
        <x:v>2</x:v>
      </x:c>
      <x:c r="F37" s="95" t="str">
        <x:v>颗</x:v>
      </x:c>
      <x:c r="G37" s="95" t="str">
        <x:v>行业建模区间</x:v>
      </x:c>
      <x:c r="H37" s="95" t="str">
        <x:v>S16;S38;S46</x:v>
      </x:c>
      <x:c r="I37" s="95" t="str">
        <x:v>低</x:v>
      </x:c>
      <x:c r="J37" s="95" t="str">
        <x:v>由公开BOM样本、历史价格锚点及模块ASP约束形成的情景区间</x:v>
      </x:c>
    </x:row>
    <x:row r="38">
      <x:c r="A38" s="95" t="str">
        <x:v>C009</x:v>
      </x:c>
      <x:c r="B38" s="95" t="str">
        <x:v>CMIS EEPROM</x:v>
      </x:c>
      <x:c r="C38" s="95" t="str">
        <x:v>800G</x:v>
      </x:c>
      <x:c r="D38" s="98" t="n">
        <x:v>0.5</x:v>
      </x:c>
      <x:c r="E38" s="98" t="n">
        <x:v>3</x:v>
      </x:c>
      <x:c r="F38" s="95" t="str">
        <x:v>颗</x:v>
      </x:c>
      <x:c r="G38" s="95" t="str">
        <x:v>行业建模区间</x:v>
      </x:c>
      <x:c r="H38" s="95" t="str">
        <x:v>S16;S38;S46</x:v>
      </x:c>
      <x:c r="I38" s="95" t="str">
        <x:v>低</x:v>
      </x:c>
      <x:c r="J38" s="95" t="str">
        <x:v>由公开BOM样本、历史价格锚点及模块ASP约束形成的情景区间</x:v>
      </x:c>
    </x:row>
    <x:row r="39">
      <x:c r="A39" s="95" t="str">
        <x:v>C009</x:v>
      </x:c>
      <x:c r="B39" s="95" t="str">
        <x:v>CMIS EEPROM</x:v>
      </x:c>
      <x:c r="C39" s="95" t="str">
        <x:v>1.6T</x:v>
      </x:c>
      <x:c r="D39" s="98" t="n">
        <x:v>1</x:v>
      </x:c>
      <x:c r="E39" s="98" t="n">
        <x:v>4</x:v>
      </x:c>
      <x:c r="F39" s="95" t="str">
        <x:v>颗</x:v>
      </x:c>
      <x:c r="G39" s="95" t="str">
        <x:v>行业建模区间</x:v>
      </x:c>
      <x:c r="H39" s="95" t="str">
        <x:v>S16;S38;S46</x:v>
      </x:c>
      <x:c r="I39" s="95" t="str">
        <x:v>低</x:v>
      </x:c>
      <x:c r="J39" s="95" t="str">
        <x:v>由公开BOM样本、历史价格锚点及模块ASP约束形成的情景区间</x:v>
      </x:c>
    </x:row>
    <x:row r="40">
      <x:c r="A40" s="95" t="str">
        <x:v>C009</x:v>
      </x:c>
      <x:c r="B40" s="95" t="str">
        <x:v>CMIS EEPROM</x:v>
      </x:c>
      <x:c r="C40" s="95" t="str">
        <x:v>3.2T</x:v>
      </x:c>
      <x:c r="D40" s="98" t="n">
        <x:v>1</x:v>
      </x:c>
      <x:c r="E40" s="98" t="n">
        <x:v>5</x:v>
      </x:c>
      <x:c r="F40" s="95" t="str">
        <x:v>颗</x:v>
      </x:c>
      <x:c r="G40" s="95" t="str">
        <x:v>行业建模区间</x:v>
      </x:c>
      <x:c r="H40" s="95" t="str">
        <x:v>S16;S38</x:v>
      </x:c>
      <x:c r="I40" s="95" t="str">
        <x:v>低</x:v>
      </x:c>
      <x:c r="J40" s="95" t="str">
        <x:v>由公开BOM样本、历史价格锚点及模块ASP约束形成的情景区间</x:v>
      </x:c>
    </x:row>
    <x:row r="41">
      <x:c r="A41" s="95" t="str">
        <x:v>C010</x:v>
      </x:c>
      <x:c r="B41" s="95" t="str">
        <x:v>MCU</x:v>
      </x:c>
      <x:c r="C41" s="95" t="str">
        <x:v>400G</x:v>
      </x:c>
      <x:c r="D41" s="98" t="n">
        <x:v>1</x:v>
      </x:c>
      <x:c r="E41" s="98" t="n">
        <x:v>5</x:v>
      </x:c>
      <x:c r="F41" s="95" t="str">
        <x:v>颗</x:v>
      </x:c>
      <x:c r="G41" s="95" t="str">
        <x:v>行业建模区间</x:v>
      </x:c>
      <x:c r="H41" s="95" t="str">
        <x:v>S16;S38;S46</x:v>
      </x:c>
      <x:c r="I41" s="95" t="str">
        <x:v>低</x:v>
      </x:c>
      <x:c r="J41" s="95" t="str">
        <x:v>由公开BOM样本、历史价格锚点及模块ASP约束形成的情景区间</x:v>
      </x:c>
    </x:row>
    <x:row r="42">
      <x:c r="A42" s="95" t="str">
        <x:v>C010</x:v>
      </x:c>
      <x:c r="B42" s="95" t="str">
        <x:v>MCU</x:v>
      </x:c>
      <x:c r="C42" s="95" t="str">
        <x:v>800G</x:v>
      </x:c>
      <x:c r="D42" s="98" t="n">
        <x:v>1</x:v>
      </x:c>
      <x:c r="E42" s="98" t="n">
        <x:v>6</x:v>
      </x:c>
      <x:c r="F42" s="95" t="str">
        <x:v>颗</x:v>
      </x:c>
      <x:c r="G42" s="95" t="str">
        <x:v>行业建模区间</x:v>
      </x:c>
      <x:c r="H42" s="95" t="str">
        <x:v>S16;S38;S46</x:v>
      </x:c>
      <x:c r="I42" s="95" t="str">
        <x:v>低</x:v>
      </x:c>
      <x:c r="J42" s="95" t="str">
        <x:v>由公开BOM样本、历史价格锚点及模块ASP约束形成的情景区间</x:v>
      </x:c>
    </x:row>
    <x:row r="43">
      <x:c r="A43" s="95" t="str">
        <x:v>C010</x:v>
      </x:c>
      <x:c r="B43" s="95" t="str">
        <x:v>MCU</x:v>
      </x:c>
      <x:c r="C43" s="95" t="str">
        <x:v>1.6T</x:v>
      </x:c>
      <x:c r="D43" s="98" t="n">
        <x:v>2</x:v>
      </x:c>
      <x:c r="E43" s="98" t="n">
        <x:v>8</x:v>
      </x:c>
      <x:c r="F43" s="95" t="str">
        <x:v>颗</x:v>
      </x:c>
      <x:c r="G43" s="95" t="str">
        <x:v>行业建模区间</x:v>
      </x:c>
      <x:c r="H43" s="95" t="str">
        <x:v>S16;S38;S46</x:v>
      </x:c>
      <x:c r="I43" s="95" t="str">
        <x:v>低</x:v>
      </x:c>
      <x:c r="J43" s="95" t="str">
        <x:v>由公开BOM样本、历史价格锚点及模块ASP约束形成的情景区间</x:v>
      </x:c>
    </x:row>
    <x:row r="44">
      <x:c r="A44" s="95" t="str">
        <x:v>C010</x:v>
      </x:c>
      <x:c r="B44" s="95" t="str">
        <x:v>MCU</x:v>
      </x:c>
      <x:c r="C44" s="95" t="str">
        <x:v>3.2T</x:v>
      </x:c>
      <x:c r="D44" s="98" t="n">
        <x:v>2</x:v>
      </x:c>
      <x:c r="E44" s="98" t="n">
        <x:v>10</x:v>
      </x:c>
      <x:c r="F44" s="95" t="str">
        <x:v>颗</x:v>
      </x:c>
      <x:c r="G44" s="95" t="str">
        <x:v>行业建模区间</x:v>
      </x:c>
      <x:c r="H44" s="95" t="str">
        <x:v>S16;S38</x:v>
      </x:c>
      <x:c r="I44" s="95" t="str">
        <x:v>低</x:v>
      </x:c>
      <x:c r="J44" s="95" t="str">
        <x:v>由公开BOM样本、历史价格锚点及模块ASP约束形成的情景区间</x:v>
      </x:c>
    </x:row>
    <x:row r="45">
      <x:c r="A45" s="95" t="str">
        <x:v>C011</x:v>
      </x:c>
      <x:c r="B45" s="95" t="str">
        <x:v>DSP</x:v>
      </x:c>
      <x:c r="C45" s="95" t="str">
        <x:v>400G</x:v>
      </x:c>
      <x:c r="D45" s="98" t="n">
        <x:v>50</x:v>
      </x:c>
      <x:c r="E45" s="98" t="n">
        <x:v>80</x:v>
      </x:c>
      <x:c r="F45" s="95" t="str">
        <x:v>颗</x:v>
      </x:c>
      <x:c r="G45" s="95" t="str">
        <x:v>行业建模区间</x:v>
      </x:c>
      <x:c r="H45" s="95" t="str">
        <x:v>S16;S38;S46</x:v>
      </x:c>
      <x:c r="I45" s="95" t="str">
        <x:v>低</x:v>
      </x:c>
      <x:c r="J45" s="95" t="str">
        <x:v>由公开BOM样本、历史价格锚点及模块ASP约束形成的情景区间</x:v>
      </x:c>
    </x:row>
    <x:row r="46">
      <x:c r="A46" s="95" t="str">
        <x:v>C011</x:v>
      </x:c>
      <x:c r="B46" s="95" t="str">
        <x:v>DSP</x:v>
      </x:c>
      <x:c r="C46" s="95" t="str">
        <x:v>800G</x:v>
      </x:c>
      <x:c r="D46" s="98" t="n">
        <x:v>70</x:v>
      </x:c>
      <x:c r="E46" s="98" t="n">
        <x:v>110</x:v>
      </x:c>
      <x:c r="F46" s="95" t="str">
        <x:v>颗</x:v>
      </x:c>
      <x:c r="G46" s="95" t="str">
        <x:v>行业建模区间</x:v>
      </x:c>
      <x:c r="H46" s="95" t="str">
        <x:v>S16;S38;S46</x:v>
      </x:c>
      <x:c r="I46" s="95" t="str">
        <x:v>低</x:v>
      </x:c>
      <x:c r="J46" s="95" t="str">
        <x:v>由公开BOM样本、历史价格锚点及模块ASP约束形成的情景区间</x:v>
      </x:c>
    </x:row>
    <x:row r="47">
      <x:c r="A47" s="95" t="str">
        <x:v>C011</x:v>
      </x:c>
      <x:c r="B47" s="95" t="str">
        <x:v>DSP</x:v>
      </x:c>
      <x:c r="C47" s="95" t="str">
        <x:v>1.6T</x:v>
      </x:c>
      <x:c r="D47" s="98" t="n">
        <x:v>110</x:v>
      </x:c>
      <x:c r="E47" s="98" t="n">
        <x:v>170</x:v>
      </x:c>
      <x:c r="F47" s="95" t="str">
        <x:v>颗</x:v>
      </x:c>
      <x:c r="G47" s="95" t="str">
        <x:v>行业建模区间</x:v>
      </x:c>
      <x:c r="H47" s="95" t="str">
        <x:v>S16;S38;S46</x:v>
      </x:c>
      <x:c r="I47" s="95" t="str">
        <x:v>低</x:v>
      </x:c>
      <x:c r="J47" s="95" t="str">
        <x:v>由公开BOM样本、历史价格锚点及模块ASP约束形成的情景区间</x:v>
      </x:c>
    </x:row>
    <x:row r="48">
      <x:c r="A48" s="95" t="str">
        <x:v>C011</x:v>
      </x:c>
      <x:c r="B48" s="95" t="str">
        <x:v>DSP</x:v>
      </x:c>
      <x:c r="C48" s="95" t="str">
        <x:v>3.2T</x:v>
      </x:c>
      <x:c r="D48" s="98" t="n">
        <x:v>220</x:v>
      </x:c>
      <x:c r="E48" s="98" t="n">
        <x:v>400</x:v>
      </x:c>
      <x:c r="F48" s="95" t="str">
        <x:v>颗</x:v>
      </x:c>
      <x:c r="G48" s="95" t="str">
        <x:v>行业建模区间</x:v>
      </x:c>
      <x:c r="H48" s="95" t="str">
        <x:v>S16;S38</x:v>
      </x:c>
      <x:c r="I48" s="95" t="str">
        <x:v>低</x:v>
      </x:c>
      <x:c r="J48" s="95" t="str">
        <x:v>由公开BOM样本、历史价格锚点及模块ASP约束形成的情景区间</x:v>
      </x:c>
    </x:row>
    <x:row r="49">
      <x:c r="A49" s="95" t="str">
        <x:v>C013</x:v>
      </x:c>
      <x:c r="B49" s="95" t="str">
        <x:v>CDR/Retimer</x:v>
      </x:c>
      <x:c r="C49" s="95" t="str">
        <x:v>400G</x:v>
      </x:c>
      <x:c r="D49" s="98" t="n">
        <x:v>20</x:v>
      </x:c>
      <x:c r="E49" s="98" t="n">
        <x:v>60</x:v>
      </x:c>
      <x:c r="F49" s="95" t="str">
        <x:v>颗</x:v>
      </x:c>
      <x:c r="G49" s="95" t="str">
        <x:v>行业建模区间</x:v>
      </x:c>
      <x:c r="H49" s="95" t="str">
        <x:v>S16;S38;S46</x:v>
      </x:c>
      <x:c r="I49" s="95" t="str">
        <x:v>低</x:v>
      </x:c>
      <x:c r="J49" s="95" t="str">
        <x:v>由公开BOM样本、历史价格锚点及模块ASP约束形成的情景区间</x:v>
      </x:c>
    </x:row>
    <x:row r="50">
      <x:c r="A50" s="95" t="str">
        <x:v>C013</x:v>
      </x:c>
      <x:c r="B50" s="95" t="str">
        <x:v>CDR/Retimer</x:v>
      </x:c>
      <x:c r="C50" s="95" t="str">
        <x:v>800G</x:v>
      </x:c>
      <x:c r="D50" s="98" t="n">
        <x:v>30</x:v>
      </x:c>
      <x:c r="E50" s="98" t="n">
        <x:v>90</x:v>
      </x:c>
      <x:c r="F50" s="95" t="str">
        <x:v>颗</x:v>
      </x:c>
      <x:c r="G50" s="95" t="str">
        <x:v>行业建模区间</x:v>
      </x:c>
      <x:c r="H50" s="95" t="str">
        <x:v>S16;S38;S46</x:v>
      </x:c>
      <x:c r="I50" s="95" t="str">
        <x:v>低</x:v>
      </x:c>
      <x:c r="J50" s="95" t="str">
        <x:v>由公开BOM样本、历史价格锚点及模块ASP约束形成的情景区间</x:v>
      </x:c>
    </x:row>
    <x:row r="51">
      <x:c r="A51" s="95" t="str">
        <x:v>C013</x:v>
      </x:c>
      <x:c r="B51" s="95" t="str">
        <x:v>CDR/Retimer</x:v>
      </x:c>
      <x:c r="C51" s="95" t="str">
        <x:v>1.6T</x:v>
      </x:c>
      <x:c r="D51" s="98" t="n">
        <x:v>60</x:v>
      </x:c>
      <x:c r="E51" s="98" t="n">
        <x:v>140</x:v>
      </x:c>
      <x:c r="F51" s="95" t="str">
        <x:v>颗</x:v>
      </x:c>
      <x:c r="G51" s="95" t="str">
        <x:v>行业建模区间</x:v>
      </x:c>
      <x:c r="H51" s="95" t="str">
        <x:v>S16;S38;S46</x:v>
      </x:c>
      <x:c r="I51" s="95" t="str">
        <x:v>低</x:v>
      </x:c>
      <x:c r="J51" s="95" t="str">
        <x:v>由公开BOM样本、历史价格锚点及模块ASP约束形成的情景区间</x:v>
      </x:c>
    </x:row>
    <x:row r="52">
      <x:c r="A52" s="95" t="str">
        <x:v>C013</x:v>
      </x:c>
      <x:c r="B52" s="95" t="str">
        <x:v>CDR/Retimer</x:v>
      </x:c>
      <x:c r="C52" s="95" t="str">
        <x:v>3.2T</x:v>
      </x:c>
      <x:c r="D52" s="98" t="n">
        <x:v>100</x:v>
      </x:c>
      <x:c r="E52" s="98" t="n">
        <x:v>250</x:v>
      </x:c>
      <x:c r="F52" s="95" t="str">
        <x:v>颗</x:v>
      </x:c>
      <x:c r="G52" s="95" t="str">
        <x:v>行业建模区间</x:v>
      </x:c>
      <x:c r="H52" s="95" t="str">
        <x:v>S16;S38</x:v>
      </x:c>
      <x:c r="I52" s="95" t="str">
        <x:v>低</x:v>
      </x:c>
      <x:c r="J52" s="95" t="str">
        <x:v>由公开BOM样本、历史价格锚点及模块ASP约束形成的情景区间</x:v>
      </x:c>
    </x:row>
    <x:row r="53">
      <x:c r="A53" s="95" t="str">
        <x:v>C014</x:v>
      </x:c>
      <x:c r="B53" s="95" t="str">
        <x:v>激光驱动器</x:v>
      </x:c>
      <x:c r="C53" s="95" t="str">
        <x:v>400G</x:v>
      </x:c>
      <x:c r="D53" s="98" t="n">
        <x:v>8</x:v>
      </x:c>
      <x:c r="E53" s="98" t="n">
        <x:v>15</x:v>
      </x:c>
      <x:c r="F53" s="95" t="str">
        <x:v>颗/阵列</x:v>
      </x:c>
      <x:c r="G53" s="95" t="str">
        <x:v>行业建模区间</x:v>
      </x:c>
      <x:c r="H53" s="95" t="str">
        <x:v>S16;S38;S46</x:v>
      </x:c>
      <x:c r="I53" s="95" t="str">
        <x:v>低</x:v>
      </x:c>
      <x:c r="J53" s="95" t="str">
        <x:v>由公开BOM样本、历史价格锚点及模块ASP约束形成的情景区间</x:v>
      </x:c>
    </x:row>
    <x:row r="54">
      <x:c r="A54" s="95" t="str">
        <x:v>C014</x:v>
      </x:c>
      <x:c r="B54" s="95" t="str">
        <x:v>激光驱动器</x:v>
      </x:c>
      <x:c r="C54" s="95" t="str">
        <x:v>800G</x:v>
      </x:c>
      <x:c r="D54" s="98" t="n">
        <x:v>15</x:v>
      </x:c>
      <x:c r="E54" s="98" t="n">
        <x:v>35</x:v>
      </x:c>
      <x:c r="F54" s="95" t="str">
        <x:v>颗/阵列</x:v>
      </x:c>
      <x:c r="G54" s="95" t="str">
        <x:v>行业建模区间</x:v>
      </x:c>
      <x:c r="H54" s="95" t="str">
        <x:v>S16;S38;S46</x:v>
      </x:c>
      <x:c r="I54" s="95" t="str">
        <x:v>低</x:v>
      </x:c>
      <x:c r="J54" s="95" t="str">
        <x:v>由公开BOM样本、历史价格锚点及模块ASP约束形成的情景区间</x:v>
      </x:c>
    </x:row>
    <x:row r="55">
      <x:c r="A55" s="95" t="str">
        <x:v>C014</x:v>
      </x:c>
      <x:c r="B55" s="95" t="str">
        <x:v>激光驱动器</x:v>
      </x:c>
      <x:c r="C55" s="95" t="str">
        <x:v>1.6T</x:v>
      </x:c>
      <x:c r="D55" s="98" t="n">
        <x:v>20</x:v>
      </x:c>
      <x:c r="E55" s="98" t="n">
        <x:v>50</x:v>
      </x:c>
      <x:c r="F55" s="95" t="str">
        <x:v>颗/阵列</x:v>
      </x:c>
      <x:c r="G55" s="95" t="str">
        <x:v>行业建模区间</x:v>
      </x:c>
      <x:c r="H55" s="95" t="str">
        <x:v>S16;S38;S46</x:v>
      </x:c>
      <x:c r="I55" s="95" t="str">
        <x:v>低</x:v>
      </x:c>
      <x:c r="J55" s="95" t="str">
        <x:v>由公开BOM样本、历史价格锚点及模块ASP约束形成的情景区间</x:v>
      </x:c>
    </x:row>
    <x:row r="56">
      <x:c r="A56" s="95" t="str">
        <x:v>C014</x:v>
      </x:c>
      <x:c r="B56" s="95" t="str">
        <x:v>激光驱动器</x:v>
      </x:c>
      <x:c r="C56" s="95" t="str">
        <x:v>3.2T</x:v>
      </x:c>
      <x:c r="D56" s="98" t="n">
        <x:v>40</x:v>
      </x:c>
      <x:c r="E56" s="98" t="n">
        <x:v>100</x:v>
      </x:c>
      <x:c r="F56" s="95" t="str">
        <x:v>颗/阵列</x:v>
      </x:c>
      <x:c r="G56" s="95" t="str">
        <x:v>行业建模区间</x:v>
      </x:c>
      <x:c r="H56" s="95" t="str">
        <x:v>S16;S38</x:v>
      </x:c>
      <x:c r="I56" s="95" t="str">
        <x:v>低</x:v>
      </x:c>
      <x:c r="J56" s="95" t="str">
        <x:v>由公开BOM样本、历史价格锚点及模块ASP约束形成的情景区间</x:v>
      </x:c>
    </x:row>
    <x:row r="57">
      <x:c r="A57" s="95" t="str">
        <x:v>C015</x:v>
      </x:c>
      <x:c r="B57" s="95" t="str">
        <x:v>TIA</x:v>
      </x:c>
      <x:c r="C57" s="95" t="str">
        <x:v>400G</x:v>
      </x:c>
      <x:c r="D57" s="98" t="n">
        <x:v>8</x:v>
      </x:c>
      <x:c r="E57" s="98" t="n">
        <x:v>15</x:v>
      </x:c>
      <x:c r="F57" s="95" t="str">
        <x:v>颗/阵列</x:v>
      </x:c>
      <x:c r="G57" s="95" t="str">
        <x:v>行业建模区间</x:v>
      </x:c>
      <x:c r="H57" s="95" t="str">
        <x:v>S16;S38;S46</x:v>
      </x:c>
      <x:c r="I57" s="95" t="str">
        <x:v>低</x:v>
      </x:c>
      <x:c r="J57" s="95" t="str">
        <x:v>由公开BOM样本、历史价格锚点及模块ASP约束形成的情景区间</x:v>
      </x:c>
    </x:row>
    <x:row r="58">
      <x:c r="A58" s="95" t="str">
        <x:v>C015</x:v>
      </x:c>
      <x:c r="B58" s="95" t="str">
        <x:v>TIA</x:v>
      </x:c>
      <x:c r="C58" s="95" t="str">
        <x:v>800G</x:v>
      </x:c>
      <x:c r="D58" s="98" t="n">
        <x:v>15</x:v>
      </x:c>
      <x:c r="E58" s="98" t="n">
        <x:v>35</x:v>
      </x:c>
      <x:c r="F58" s="95" t="str">
        <x:v>颗/阵列</x:v>
      </x:c>
      <x:c r="G58" s="95" t="str">
        <x:v>行业建模区间</x:v>
      </x:c>
      <x:c r="H58" s="95" t="str">
        <x:v>S16;S38;S46</x:v>
      </x:c>
      <x:c r="I58" s="95" t="str">
        <x:v>低</x:v>
      </x:c>
      <x:c r="J58" s="95" t="str">
        <x:v>由公开BOM样本、历史价格锚点及模块ASP约束形成的情景区间</x:v>
      </x:c>
    </x:row>
    <x:row r="59">
      <x:c r="A59" s="95" t="str">
        <x:v>C015</x:v>
      </x:c>
      <x:c r="B59" s="95" t="str">
        <x:v>TIA</x:v>
      </x:c>
      <x:c r="C59" s="95" t="str">
        <x:v>1.6T</x:v>
      </x:c>
      <x:c r="D59" s="98" t="n">
        <x:v>20</x:v>
      </x:c>
      <x:c r="E59" s="98" t="n">
        <x:v>50</x:v>
      </x:c>
      <x:c r="F59" s="95" t="str">
        <x:v>颗/阵列</x:v>
      </x:c>
      <x:c r="G59" s="95" t="str">
        <x:v>行业建模区间</x:v>
      </x:c>
      <x:c r="H59" s="95" t="str">
        <x:v>S16;S38;S46</x:v>
      </x:c>
      <x:c r="I59" s="95" t="str">
        <x:v>低</x:v>
      </x:c>
      <x:c r="J59" s="95" t="str">
        <x:v>由公开BOM样本、历史价格锚点及模块ASP约束形成的情景区间</x:v>
      </x:c>
    </x:row>
    <x:row r="60">
      <x:c r="A60" s="95" t="str">
        <x:v>C015</x:v>
      </x:c>
      <x:c r="B60" s="95" t="str">
        <x:v>TIA</x:v>
      </x:c>
      <x:c r="C60" s="95" t="str">
        <x:v>3.2T</x:v>
      </x:c>
      <x:c r="D60" s="98" t="n">
        <x:v>40</x:v>
      </x:c>
      <x:c r="E60" s="98" t="n">
        <x:v>100</x:v>
      </x:c>
      <x:c r="F60" s="95" t="str">
        <x:v>颗/阵列</x:v>
      </x:c>
      <x:c r="G60" s="95" t="str">
        <x:v>行业建模区间</x:v>
      </x:c>
      <x:c r="H60" s="95" t="str">
        <x:v>S16;S38</x:v>
      </x:c>
      <x:c r="I60" s="95" t="str">
        <x:v>低</x:v>
      </x:c>
      <x:c r="J60" s="95" t="str">
        <x:v>由公开BOM样本、历史价格锚点及模块ASP约束形成的情景区间</x:v>
      </x:c>
    </x:row>
    <x:row r="61">
      <x:c r="A61" s="95" t="str">
        <x:v>C016</x:v>
      </x:c>
      <x:c r="B61" s="95" t="str">
        <x:v>VCSEL阵列</x:v>
      </x:c>
      <x:c r="C61" s="95" t="str">
        <x:v>400G</x:v>
      </x:c>
      <x:c r="D61" s="98" t="n">
        <x:v>15</x:v>
      </x:c>
      <x:c r="E61" s="98" t="n">
        <x:v>40</x:v>
      </x:c>
      <x:c r="F61" s="95" t="str">
        <x:v>阵列</x:v>
      </x:c>
      <x:c r="G61" s="95" t="str">
        <x:v>行业建模区间</x:v>
      </x:c>
      <x:c r="H61" s="95" t="str">
        <x:v>S16;S38;S46</x:v>
      </x:c>
      <x:c r="I61" s="95" t="str">
        <x:v>低</x:v>
      </x:c>
      <x:c r="J61" s="95" t="str">
        <x:v>由公开BOM样本、历史价格锚点及模块ASP约束形成的情景区间</x:v>
      </x:c>
    </x:row>
    <x:row r="62">
      <x:c r="A62" s="95" t="str">
        <x:v>C016</x:v>
      </x:c>
      <x:c r="B62" s="95" t="str">
        <x:v>VCSEL阵列</x:v>
      </x:c>
      <x:c r="C62" s="95" t="str">
        <x:v>800G</x:v>
      </x:c>
      <x:c r="D62" s="98" t="n">
        <x:v>25</x:v>
      </x:c>
      <x:c r="E62" s="98" t="n">
        <x:v>70</x:v>
      </x:c>
      <x:c r="F62" s="95" t="str">
        <x:v>阵列</x:v>
      </x:c>
      <x:c r="G62" s="95" t="str">
        <x:v>行业建模区间</x:v>
      </x:c>
      <x:c r="H62" s="95" t="str">
        <x:v>S16;S38;S46</x:v>
      </x:c>
      <x:c r="I62" s="95" t="str">
        <x:v>低</x:v>
      </x:c>
      <x:c r="J62" s="95" t="str">
        <x:v>由公开BOM样本、历史价格锚点及模块ASP约束形成的情景区间</x:v>
      </x:c>
    </x:row>
    <x:row r="63">
      <x:c r="A63" s="95" t="str">
        <x:v>C016</x:v>
      </x:c>
      <x:c r="B63" s="95" t="str">
        <x:v>VCSEL阵列</x:v>
      </x:c>
      <x:c r="C63" s="95" t="str">
        <x:v>1.6T</x:v>
      </x:c>
      <x:c r="D63" s="98" t="n">
        <x:v>50</x:v>
      </x:c>
      <x:c r="E63" s="98" t="n">
        <x:v>120</x:v>
      </x:c>
      <x:c r="F63" s="95" t="str">
        <x:v>阵列</x:v>
      </x:c>
      <x:c r="G63" s="95" t="str">
        <x:v>行业建模区间</x:v>
      </x:c>
      <x:c r="H63" s="95" t="str">
        <x:v>S16;S38;S46</x:v>
      </x:c>
      <x:c r="I63" s="95" t="str">
        <x:v>低</x:v>
      </x:c>
      <x:c r="J63" s="95" t="str">
        <x:v>由公开BOM样本、历史价格锚点及模块ASP约束形成的情景区间</x:v>
      </x:c>
    </x:row>
    <x:row r="64">
      <x:c r="A64" s="95" t="str">
        <x:v>C016</x:v>
      </x:c>
      <x:c r="B64" s="95" t="str">
        <x:v>VCSEL阵列</x:v>
      </x:c>
      <x:c r="C64" s="95" t="str">
        <x:v>3.2T</x:v>
      </x:c>
      <x:c r="D64" s="98" t="n">
        <x:v>100</x:v>
      </x:c>
      <x:c r="E64" s="98" t="n">
        <x:v>220</x:v>
      </x:c>
      <x:c r="F64" s="95" t="str">
        <x:v>阵列</x:v>
      </x:c>
      <x:c r="G64" s="95" t="str">
        <x:v>行业建模区间</x:v>
      </x:c>
      <x:c r="H64" s="95" t="str">
        <x:v>S16;S38</x:v>
      </x:c>
      <x:c r="I64" s="95" t="str">
        <x:v>低</x:v>
      </x:c>
      <x:c r="J64" s="95" t="str">
        <x:v>由公开BOM样本、历史价格锚点及模块ASP约束形成的情景区间</x:v>
      </x:c>
    </x:row>
    <x:row r="65">
      <x:c r="A65" s="95" t="str">
        <x:v>C020</x:v>
      </x:c>
      <x:c r="B65" s="95" t="str">
        <x:v>DML</x:v>
      </x:c>
      <x:c r="C65" s="95" t="str">
        <x:v>400G</x:v>
      </x:c>
      <x:c r="D65" s="98" t="n">
        <x:v>3</x:v>
      </x:c>
      <x:c r="E65" s="98" t="n">
        <x:v>8</x:v>
      </x:c>
      <x:c r="F65" s="95" t="str">
        <x:v>颗/阵列</x:v>
      </x:c>
      <x:c r="G65" s="95" t="str">
        <x:v>行业建模区间</x:v>
      </x:c>
      <x:c r="H65" s="95" t="str">
        <x:v>S16;S38;S46</x:v>
      </x:c>
      <x:c r="I65" s="95" t="str">
        <x:v>低</x:v>
      </x:c>
      <x:c r="J65" s="95" t="str">
        <x:v>由公开BOM样本、历史价格锚点及模块ASP约束形成的情景区间</x:v>
      </x:c>
    </x:row>
    <x:row r="66">
      <x:c r="A66" s="95" t="str">
        <x:v>C020</x:v>
      </x:c>
      <x:c r="B66" s="95" t="str">
        <x:v>DML</x:v>
      </x:c>
      <x:c r="C66" s="95" t="str">
        <x:v>800G</x:v>
      </x:c>
      <x:c r="D66" s="98" t="n">
        <x:v>5</x:v>
      </x:c>
      <x:c r="E66" s="98" t="n">
        <x:v>12</x:v>
      </x:c>
      <x:c r="F66" s="95" t="str">
        <x:v>颗/阵列</x:v>
      </x:c>
      <x:c r="G66" s="95" t="str">
        <x:v>行业建模区间</x:v>
      </x:c>
      <x:c r="H66" s="95" t="str">
        <x:v>S16;S38;S46</x:v>
      </x:c>
      <x:c r="I66" s="95" t="str">
        <x:v>低</x:v>
      </x:c>
      <x:c r="J66" s="95" t="str">
        <x:v>由公开BOM样本、历史价格锚点及模块ASP约束形成的情景区间</x:v>
      </x:c>
    </x:row>
    <x:row r="67">
      <x:c r="A67" s="95" t="str">
        <x:v>C020</x:v>
      </x:c>
      <x:c r="B67" s="95" t="str">
        <x:v>DML</x:v>
      </x:c>
      <x:c r="C67" s="95" t="str">
        <x:v>1.6T</x:v>
      </x:c>
      <x:c r="D67" s="98" t="n">
        <x:v>10</x:v>
      </x:c>
      <x:c r="E67" s="98" t="n">
        <x:v>25</x:v>
      </x:c>
      <x:c r="F67" s="95" t="str">
        <x:v>颗/阵列</x:v>
      </x:c>
      <x:c r="G67" s="95" t="str">
        <x:v>行业建模区间</x:v>
      </x:c>
      <x:c r="H67" s="95" t="str">
        <x:v>S16;S38;S46</x:v>
      </x:c>
      <x:c r="I67" s="95" t="str">
        <x:v>低</x:v>
      </x:c>
      <x:c r="J67" s="95" t="str">
        <x:v>由公开BOM样本、历史价格锚点及模块ASP约束形成的情景区间</x:v>
      </x:c>
    </x:row>
    <x:row r="68">
      <x:c r="A68" s="95" t="str">
        <x:v>C020</x:v>
      </x:c>
      <x:c r="B68" s="95" t="str">
        <x:v>DML</x:v>
      </x:c>
      <x:c r="C68" s="95" t="str">
        <x:v>3.2T</x:v>
      </x:c>
      <x:c r="D68" s="98" t="n">
        <x:v>20</x:v>
      </x:c>
      <x:c r="E68" s="98" t="n">
        <x:v>50</x:v>
      </x:c>
      <x:c r="F68" s="95" t="str">
        <x:v>颗/阵列</x:v>
      </x:c>
      <x:c r="G68" s="95" t="str">
        <x:v>行业建模区间</x:v>
      </x:c>
      <x:c r="H68" s="95" t="str">
        <x:v>S16;S38</x:v>
      </x:c>
      <x:c r="I68" s="95" t="str">
        <x:v>低</x:v>
      </x:c>
      <x:c r="J68" s="95" t="str">
        <x:v>由公开BOM样本、历史价格锚点及模块ASP约束形成的情景区间</x:v>
      </x:c>
    </x:row>
    <x:row r="69">
      <x:c r="A69" s="95" t="str">
        <x:v>C021</x:v>
      </x:c>
      <x:c r="B69" s="95" t="str">
        <x:v>EML</x:v>
      </x:c>
      <x:c r="C69" s="95" t="str">
        <x:v>400G</x:v>
      </x:c>
      <x:c r="D69" s="98" t="n">
        <x:v>8</x:v>
      </x:c>
      <x:c r="E69" s="98" t="n">
        <x:v>25</x:v>
      </x:c>
      <x:c r="F69" s="95" t="str">
        <x:v>颗/阵列</x:v>
      </x:c>
      <x:c r="G69" s="95" t="str">
        <x:v>行业建模区间</x:v>
      </x:c>
      <x:c r="H69" s="95" t="str">
        <x:v>S16;S38;S46</x:v>
      </x:c>
      <x:c r="I69" s="95" t="str">
        <x:v>低</x:v>
      </x:c>
      <x:c r="J69" s="95" t="str">
        <x:v>由公开BOM样本、历史价格锚点及模块ASP约束形成的情景区间</x:v>
      </x:c>
    </x:row>
    <x:row r="70">
      <x:c r="A70" s="95" t="str">
        <x:v>C021</x:v>
      </x:c>
      <x:c r="B70" s="95" t="str">
        <x:v>EML</x:v>
      </x:c>
      <x:c r="C70" s="95" t="str">
        <x:v>800G</x:v>
      </x:c>
      <x:c r="D70" s="98" t="n">
        <x:v>10</x:v>
      </x:c>
      <x:c r="E70" s="98" t="n">
        <x:v>35</x:v>
      </x:c>
      <x:c r="F70" s="95" t="str">
        <x:v>颗/阵列</x:v>
      </x:c>
      <x:c r="G70" s="95" t="str">
        <x:v>行业建模区间</x:v>
      </x:c>
      <x:c r="H70" s="95" t="str">
        <x:v>S16;S38;S46</x:v>
      </x:c>
      <x:c r="I70" s="95" t="str">
        <x:v>低</x:v>
      </x:c>
      <x:c r="J70" s="95" t="str">
        <x:v>由公开BOM样本、历史价格锚点及模块ASP约束形成的情景区间</x:v>
      </x:c>
    </x:row>
    <x:row r="71">
      <x:c r="A71" s="95" t="str">
        <x:v>C021</x:v>
      </x:c>
      <x:c r="B71" s="95" t="str">
        <x:v>EML</x:v>
      </x:c>
      <x:c r="C71" s="95" t="str">
        <x:v>1.6T</x:v>
      </x:c>
      <x:c r="D71" s="98" t="n">
        <x:v>20</x:v>
      </x:c>
      <x:c r="E71" s="98" t="n">
        <x:v>50</x:v>
      </x:c>
      <x:c r="F71" s="95" t="str">
        <x:v>颗/阵列</x:v>
      </x:c>
      <x:c r="G71" s="95" t="str">
        <x:v>行业建模区间</x:v>
      </x:c>
      <x:c r="H71" s="95" t="str">
        <x:v>S16;S38;S46</x:v>
      </x:c>
      <x:c r="I71" s="95" t="str">
        <x:v>低</x:v>
      </x:c>
      <x:c r="J71" s="95" t="str">
        <x:v>由公开BOM样本、历史价格锚点及模块ASP约束形成的情景区间</x:v>
      </x:c>
    </x:row>
    <x:row r="72">
      <x:c r="A72" s="95" t="str">
        <x:v>C021</x:v>
      </x:c>
      <x:c r="B72" s="95" t="str">
        <x:v>EML</x:v>
      </x:c>
      <x:c r="C72" s="95" t="str">
        <x:v>3.2T</x:v>
      </x:c>
      <x:c r="D72" s="98" t="n">
        <x:v>35</x:v>
      </x:c>
      <x:c r="E72" s="98" t="n">
        <x:v>80</x:v>
      </x:c>
      <x:c r="F72" s="95" t="str">
        <x:v>颗/阵列</x:v>
      </x:c>
      <x:c r="G72" s="95" t="str">
        <x:v>行业建模区间</x:v>
      </x:c>
      <x:c r="H72" s="95" t="str">
        <x:v>S16;S38</x:v>
      </x:c>
      <x:c r="I72" s="95" t="str">
        <x:v>低</x:v>
      </x:c>
      <x:c r="J72" s="95" t="str">
        <x:v>由公开BOM样本、历史价格锚点及模块ASP约束形成的情景区间</x:v>
      </x:c>
    </x:row>
    <x:row r="73">
      <x:c r="A73" s="95" t="str">
        <x:v>C023</x:v>
      </x:c>
      <x:c r="B73" s="95" t="str">
        <x:v>CW DFB激光器</x:v>
      </x:c>
      <x:c r="C73" s="95" t="str">
        <x:v>400G</x:v>
      </x:c>
      <x:c r="D73" s="98" t="n">
        <x:v>3</x:v>
      </x:c>
      <x:c r="E73" s="98" t="n">
        <x:v>10</x:v>
      </x:c>
      <x:c r="F73" s="95" t="str">
        <x:v>颗/阵列</x:v>
      </x:c>
      <x:c r="G73" s="95" t="str">
        <x:v>行业建模区间</x:v>
      </x:c>
      <x:c r="H73" s="95" t="str">
        <x:v>S16;S38;S46</x:v>
      </x:c>
      <x:c r="I73" s="95" t="str">
        <x:v>低</x:v>
      </x:c>
      <x:c r="J73" s="95" t="str">
        <x:v>由公开BOM样本、历史价格锚点及模块ASP约束形成的情景区间</x:v>
      </x:c>
    </x:row>
    <x:row r="74">
      <x:c r="A74" s="95" t="str">
        <x:v>C023</x:v>
      </x:c>
      <x:c r="B74" s="95" t="str">
        <x:v>CW DFB激光器</x:v>
      </x:c>
      <x:c r="C74" s="95" t="str">
        <x:v>800G</x:v>
      </x:c>
      <x:c r="D74" s="98" t="n">
        <x:v>3</x:v>
      </x:c>
      <x:c r="E74" s="98" t="n">
        <x:v>12</x:v>
      </x:c>
      <x:c r="F74" s="95" t="str">
        <x:v>颗/阵列</x:v>
      </x:c>
      <x:c r="G74" s="95" t="str">
        <x:v>行业建模区间</x:v>
      </x:c>
      <x:c r="H74" s="95" t="str">
        <x:v>S16;S38;S46</x:v>
      </x:c>
      <x:c r="I74" s="95" t="str">
        <x:v>低</x:v>
      </x:c>
      <x:c r="J74" s="95" t="str">
        <x:v>由公开BOM样本、历史价格锚点及模块ASP约束形成的情景区间</x:v>
      </x:c>
    </x:row>
    <x:row r="75">
      <x:c r="A75" s="95" t="str">
        <x:v>C023</x:v>
      </x:c>
      <x:c r="B75" s="95" t="str">
        <x:v>CW DFB激光器</x:v>
      </x:c>
      <x:c r="C75" s="95" t="str">
        <x:v>1.6T</x:v>
      </x:c>
      <x:c r="D75" s="98" t="n">
        <x:v>5</x:v>
      </x:c>
      <x:c r="E75" s="98" t="n">
        <x:v>15</x:v>
      </x:c>
      <x:c r="F75" s="95" t="str">
        <x:v>颗/阵列</x:v>
      </x:c>
      <x:c r="G75" s="95" t="str">
        <x:v>行业建模区间</x:v>
      </x:c>
      <x:c r="H75" s="95" t="str">
        <x:v>S16;S38;S46</x:v>
      </x:c>
      <x:c r="I75" s="95" t="str">
        <x:v>低</x:v>
      </x:c>
      <x:c r="J75" s="95" t="str">
        <x:v>由公开BOM样本、历史价格锚点及模块ASP约束形成的情景区间</x:v>
      </x:c>
    </x:row>
    <x:row r="76">
      <x:c r="A76" s="95" t="str">
        <x:v>C023</x:v>
      </x:c>
      <x:c r="B76" s="95" t="str">
        <x:v>CW DFB激光器</x:v>
      </x:c>
      <x:c r="C76" s="95" t="str">
        <x:v>3.2T</x:v>
      </x:c>
      <x:c r="D76" s="98" t="n">
        <x:v>10</x:v>
      </x:c>
      <x:c r="E76" s="98" t="n">
        <x:v>30</x:v>
      </x:c>
      <x:c r="F76" s="95" t="str">
        <x:v>颗/阵列</x:v>
      </x:c>
      <x:c r="G76" s="95" t="str">
        <x:v>行业建模区间</x:v>
      </x:c>
      <x:c r="H76" s="95" t="str">
        <x:v>S16;S38</x:v>
      </x:c>
      <x:c r="I76" s="95" t="str">
        <x:v>低</x:v>
      </x:c>
      <x:c r="J76" s="95" t="str">
        <x:v>由公开BOM样本、历史价格锚点及模块ASP约束形成的情景区间</x:v>
      </x:c>
    </x:row>
    <x:row r="77">
      <x:c r="A77" s="95" t="str">
        <x:v>C024</x:v>
      </x:c>
      <x:c r="B77" s="95" t="str">
        <x:v>外置激光源</x:v>
      </x:c>
      <x:c r="C77" s="95" t="str">
        <x:v>400G</x:v>
      </x:c>
      <x:c r="D77" s="98" t="n">
        <x:v>300</x:v>
      </x:c>
      <x:c r="E77" s="98" t="n">
        <x:v>800</x:v>
      </x:c>
      <x:c r="F77" s="95" t="str">
        <x:v>模块</x:v>
      </x:c>
      <x:c r="G77" s="95" t="str">
        <x:v>行业建模区间</x:v>
      </x:c>
      <x:c r="H77" s="95" t="str">
        <x:v>S16;S38;S46</x:v>
      </x:c>
      <x:c r="I77" s="95" t="str">
        <x:v>低</x:v>
      </x:c>
      <x:c r="J77" s="95" t="str">
        <x:v>由公开BOM样本、历史价格锚点及模块ASP约束形成的情景区间</x:v>
      </x:c>
    </x:row>
    <x:row r="78">
      <x:c r="A78" s="95" t="str">
        <x:v>C024</x:v>
      </x:c>
      <x:c r="B78" s="95" t="str">
        <x:v>外置激光源</x:v>
      </x:c>
      <x:c r="C78" s="95" t="str">
        <x:v>800G</x:v>
      </x:c>
      <x:c r="D78" s="98" t="n">
        <x:v>400</x:v>
      </x:c>
      <x:c r="E78" s="98" t="n">
        <x:v>1200</x:v>
      </x:c>
      <x:c r="F78" s="95" t="str">
        <x:v>模块</x:v>
      </x:c>
      <x:c r="G78" s="95" t="str">
        <x:v>行业建模区间</x:v>
      </x:c>
      <x:c r="H78" s="95" t="str">
        <x:v>S16;S38;S46</x:v>
      </x:c>
      <x:c r="I78" s="95" t="str">
        <x:v>低</x:v>
      </x:c>
      <x:c r="J78" s="95" t="str">
        <x:v>由公开BOM样本、历史价格锚点及模块ASP约束形成的情景区间</x:v>
      </x:c>
    </x:row>
    <x:row r="79">
      <x:c r="A79" s="95" t="str">
        <x:v>C024</x:v>
      </x:c>
      <x:c r="B79" s="95" t="str">
        <x:v>外置激光源</x:v>
      </x:c>
      <x:c r="C79" s="95" t="str">
        <x:v>1.6T</x:v>
      </x:c>
      <x:c r="D79" s="98" t="n">
        <x:v>600</x:v>
      </x:c>
      <x:c r="E79" s="98" t="n">
        <x:v>1800</x:v>
      </x:c>
      <x:c r="F79" s="95" t="str">
        <x:v>模块</x:v>
      </x:c>
      <x:c r="G79" s="95" t="str">
        <x:v>行业建模区间</x:v>
      </x:c>
      <x:c r="H79" s="95" t="str">
        <x:v>S16;S38;S46</x:v>
      </x:c>
      <x:c r="I79" s="95" t="str">
        <x:v>低</x:v>
      </x:c>
      <x:c r="J79" s="95" t="str">
        <x:v>由公开BOM样本、历史价格锚点及模块ASP约束形成的情景区间</x:v>
      </x:c>
    </x:row>
    <x:row r="80">
      <x:c r="A80" s="95" t="str">
        <x:v>C024</x:v>
      </x:c>
      <x:c r="B80" s="95" t="str">
        <x:v>外置激光源</x:v>
      </x:c>
      <x:c r="C80" s="95" t="str">
        <x:v>3.2T</x:v>
      </x:c>
      <x:c r="D80" s="98" t="n">
        <x:v>1000</x:v>
      </x:c>
      <x:c r="E80" s="98" t="n">
        <x:v>3000</x:v>
      </x:c>
      <x:c r="F80" s="95" t="str">
        <x:v>模块</x:v>
      </x:c>
      <x:c r="G80" s="95" t="str">
        <x:v>行业建模区间</x:v>
      </x:c>
      <x:c r="H80" s="95" t="str">
        <x:v>S16;S38</x:v>
      </x:c>
      <x:c r="I80" s="95" t="str">
        <x:v>低</x:v>
      </x:c>
      <x:c r="J80" s="95" t="str">
        <x:v>由公开BOM样本、历史价格锚点及模块ASP约束形成的情景区间</x:v>
      </x:c>
    </x:row>
    <x:row r="81">
      <x:c r="A81" s="95" t="str">
        <x:v>C025</x:v>
      </x:c>
      <x:c r="B81" s="95" t="str">
        <x:v>硅光PIC</x:v>
      </x:c>
      <x:c r="C81" s="95" t="str">
        <x:v>400G</x:v>
      </x:c>
      <x:c r="D81" s="98" t="n">
        <x:v>15</x:v>
      </x:c>
      <x:c r="E81" s="98" t="n">
        <x:v>40</x:v>
      </x:c>
      <x:c r="F81" s="95" t="str">
        <x:v>颗</x:v>
      </x:c>
      <x:c r="G81" s="95" t="str">
        <x:v>行业建模区间</x:v>
      </x:c>
      <x:c r="H81" s="95" t="str">
        <x:v>S16;S38;S46</x:v>
      </x:c>
      <x:c r="I81" s="95" t="str">
        <x:v>低</x:v>
      </x:c>
      <x:c r="J81" s="95" t="str">
        <x:v>由公开BOM样本、历史价格锚点及模块ASP约束形成的情景区间</x:v>
      </x:c>
    </x:row>
    <x:row r="82">
      <x:c r="A82" s="95" t="str">
        <x:v>C025</x:v>
      </x:c>
      <x:c r="B82" s="95" t="str">
        <x:v>硅光PIC</x:v>
      </x:c>
      <x:c r="C82" s="95" t="str">
        <x:v>800G</x:v>
      </x:c>
      <x:c r="D82" s="98" t="n">
        <x:v>20</x:v>
      </x:c>
      <x:c r="E82" s="98" t="n">
        <x:v>60</x:v>
      </x:c>
      <x:c r="F82" s="95" t="str">
        <x:v>颗</x:v>
      </x:c>
      <x:c r="G82" s="95" t="str">
        <x:v>行业建模区间</x:v>
      </x:c>
      <x:c r="H82" s="95" t="str">
        <x:v>S16;S38;S46</x:v>
      </x:c>
      <x:c r="I82" s="95" t="str">
        <x:v>低</x:v>
      </x:c>
      <x:c r="J82" s="95" t="str">
        <x:v>由公开BOM样本、历史价格锚点及模块ASP约束形成的情景区间</x:v>
      </x:c>
    </x:row>
    <x:row r="83">
      <x:c r="A83" s="95" t="str">
        <x:v>C025</x:v>
      </x:c>
      <x:c r="B83" s="95" t="str">
        <x:v>硅光PIC</x:v>
      </x:c>
      <x:c r="C83" s="95" t="str">
        <x:v>1.6T</x:v>
      </x:c>
      <x:c r="D83" s="98" t="n">
        <x:v>35</x:v>
      </x:c>
      <x:c r="E83" s="98" t="n">
        <x:v>90</x:v>
      </x:c>
      <x:c r="F83" s="95" t="str">
        <x:v>颗</x:v>
      </x:c>
      <x:c r="G83" s="95" t="str">
        <x:v>行业建模区间</x:v>
      </x:c>
      <x:c r="H83" s="95" t="str">
        <x:v>S16;S38;S46</x:v>
      </x:c>
      <x:c r="I83" s="95" t="str">
        <x:v>低</x:v>
      </x:c>
      <x:c r="J83" s="95" t="str">
        <x:v>由公开BOM样本、历史价格锚点及模块ASP约束形成的情景区间</x:v>
      </x:c>
    </x:row>
    <x:row r="84">
      <x:c r="A84" s="95" t="str">
        <x:v>C025</x:v>
      </x:c>
      <x:c r="B84" s="95" t="str">
        <x:v>硅光PIC</x:v>
      </x:c>
      <x:c r="C84" s="95" t="str">
        <x:v>3.2T</x:v>
      </x:c>
      <x:c r="D84" s="98" t="n">
        <x:v>80</x:v>
      </x:c>
      <x:c r="E84" s="98" t="n">
        <x:v>250</x:v>
      </x:c>
      <x:c r="F84" s="95" t="str">
        <x:v>颗</x:v>
      </x:c>
      <x:c r="G84" s="95" t="str">
        <x:v>行业建模区间</x:v>
      </x:c>
      <x:c r="H84" s="95" t="str">
        <x:v>S16;S38</x:v>
      </x:c>
      <x:c r="I84" s="95" t="str">
        <x:v>低</x:v>
      </x:c>
      <x:c r="J84" s="95" t="str">
        <x:v>由公开BOM样本、历史价格锚点及模块ASP约束形成的情景区间</x:v>
      </x:c>
    </x:row>
    <x:row r="85">
      <x:c r="A85" s="95" t="str">
        <x:v>C031</x:v>
      </x:c>
      <x:c r="B85" s="95" t="str">
        <x:v>InGaAs PIN光电探测器</x:v>
      </x:c>
      <x:c r="C85" s="95" t="str">
        <x:v>400G</x:v>
      </x:c>
      <x:c r="D85" s="98" t="n">
        <x:v>3</x:v>
      </x:c>
      <x:c r="E85" s="98" t="n">
        <x:v>10</x:v>
      </x:c>
      <x:c r="F85" s="95" t="str">
        <x:v>颗/阵列</x:v>
      </x:c>
      <x:c r="G85" s="95" t="str">
        <x:v>行业建模区间</x:v>
      </x:c>
      <x:c r="H85" s="95" t="str">
        <x:v>S16;S38;S46</x:v>
      </x:c>
      <x:c r="I85" s="95" t="str">
        <x:v>低</x:v>
      </x:c>
      <x:c r="J85" s="95" t="str">
        <x:v>由公开BOM样本、历史价格锚点及模块ASP约束形成的情景区间</x:v>
      </x:c>
    </x:row>
    <x:row r="86">
      <x:c r="A86" s="95" t="str">
        <x:v>C031</x:v>
      </x:c>
      <x:c r="B86" s="95" t="str">
        <x:v>InGaAs PIN光电探测器</x:v>
      </x:c>
      <x:c r="C86" s="95" t="str">
        <x:v>800G</x:v>
      </x:c>
      <x:c r="D86" s="98" t="n">
        <x:v>3</x:v>
      </x:c>
      <x:c r="E86" s="98" t="n">
        <x:v>12</x:v>
      </x:c>
      <x:c r="F86" s="95" t="str">
        <x:v>颗/阵列</x:v>
      </x:c>
      <x:c r="G86" s="95" t="str">
        <x:v>行业建模区间</x:v>
      </x:c>
      <x:c r="H86" s="95" t="str">
        <x:v>S16;S38;S46</x:v>
      </x:c>
      <x:c r="I86" s="95" t="str">
        <x:v>低</x:v>
      </x:c>
      <x:c r="J86" s="95" t="str">
        <x:v>由公开BOM样本、历史价格锚点及模块ASP约束形成的情景区间</x:v>
      </x:c>
    </x:row>
    <x:row r="87">
      <x:c r="A87" s="95" t="str">
        <x:v>C031</x:v>
      </x:c>
      <x:c r="B87" s="95" t="str">
        <x:v>InGaAs PIN光电探测器</x:v>
      </x:c>
      <x:c r="C87" s="95" t="str">
        <x:v>1.6T</x:v>
      </x:c>
      <x:c r="D87" s="98" t="n">
        <x:v>5</x:v>
      </x:c>
      <x:c r="E87" s="98" t="n">
        <x:v>20</x:v>
      </x:c>
      <x:c r="F87" s="95" t="str">
        <x:v>颗/阵列</x:v>
      </x:c>
      <x:c r="G87" s="95" t="str">
        <x:v>行业建模区间</x:v>
      </x:c>
      <x:c r="H87" s="95" t="str">
        <x:v>S16;S38;S46</x:v>
      </x:c>
      <x:c r="I87" s="95" t="str">
        <x:v>低</x:v>
      </x:c>
      <x:c r="J87" s="95" t="str">
        <x:v>由公开BOM样本、历史价格锚点及模块ASP约束形成的情景区间</x:v>
      </x:c>
    </x:row>
    <x:row r="88">
      <x:c r="A88" s="95" t="str">
        <x:v>C031</x:v>
      </x:c>
      <x:c r="B88" s="95" t="str">
        <x:v>InGaAs PIN光电探测器</x:v>
      </x:c>
      <x:c r="C88" s="95" t="str">
        <x:v>3.2T</x:v>
      </x:c>
      <x:c r="D88" s="98" t="n">
        <x:v>10</x:v>
      </x:c>
      <x:c r="E88" s="98" t="n">
        <x:v>40</x:v>
      </x:c>
      <x:c r="F88" s="95" t="str">
        <x:v>颗/阵列</x:v>
      </x:c>
      <x:c r="G88" s="95" t="str">
        <x:v>行业建模区间</x:v>
      </x:c>
      <x:c r="H88" s="95" t="str">
        <x:v>S16;S38</x:v>
      </x:c>
      <x:c r="I88" s="95" t="str">
        <x:v>低</x:v>
      </x:c>
      <x:c r="J88" s="95" t="str">
        <x:v>由公开BOM样本、历史价格锚点及模块ASP约束形成的情景区间</x:v>
      </x:c>
    </x:row>
    <x:row r="89">
      <x:c r="A89" s="95" t="str">
        <x:v>C032</x:v>
      </x:c>
      <x:c r="B89" s="95" t="str">
        <x:v>GaAs PIN阵列</x:v>
      </x:c>
      <x:c r="C89" s="95" t="str">
        <x:v>400G</x:v>
      </x:c>
      <x:c r="D89" s="98" t="n">
        <x:v>8</x:v>
      </x:c>
      <x:c r="E89" s="98" t="n">
        <x:v>25</x:v>
      </x:c>
      <x:c r="F89" s="95" t="str">
        <x:v>阵列</x:v>
      </x:c>
      <x:c r="G89" s="95" t="str">
        <x:v>行业建模区间</x:v>
      </x:c>
      <x:c r="H89" s="95" t="str">
        <x:v>S16;S38;S46</x:v>
      </x:c>
      <x:c r="I89" s="95" t="str">
        <x:v>低</x:v>
      </x:c>
      <x:c r="J89" s="95" t="str">
        <x:v>由公开BOM样本、历史价格锚点及模块ASP约束形成的情景区间</x:v>
      </x:c>
    </x:row>
    <x:row r="90">
      <x:c r="A90" s="95" t="str">
        <x:v>C032</x:v>
      </x:c>
      <x:c r="B90" s="95" t="str">
        <x:v>GaAs PIN阵列</x:v>
      </x:c>
      <x:c r="C90" s="95" t="str">
        <x:v>800G</x:v>
      </x:c>
      <x:c r="D90" s="98" t="n">
        <x:v>12</x:v>
      </x:c>
      <x:c r="E90" s="98" t="n">
        <x:v>35</x:v>
      </x:c>
      <x:c r="F90" s="95" t="str">
        <x:v>阵列</x:v>
      </x:c>
      <x:c r="G90" s="95" t="str">
        <x:v>行业建模区间</x:v>
      </x:c>
      <x:c r="H90" s="95" t="str">
        <x:v>S16;S38;S46</x:v>
      </x:c>
      <x:c r="I90" s="95" t="str">
        <x:v>低</x:v>
      </x:c>
      <x:c r="J90" s="95" t="str">
        <x:v>由公开BOM样本、历史价格锚点及模块ASP约束形成的情景区间</x:v>
      </x:c>
    </x:row>
    <x:row r="91">
      <x:c r="A91" s="95" t="str">
        <x:v>C032</x:v>
      </x:c>
      <x:c r="B91" s="95" t="str">
        <x:v>GaAs PIN阵列</x:v>
      </x:c>
      <x:c r="C91" s="95" t="str">
        <x:v>1.6T</x:v>
      </x:c>
      <x:c r="D91" s="98" t="n">
        <x:v>20</x:v>
      </x:c>
      <x:c r="E91" s="98" t="n">
        <x:v>60</x:v>
      </x:c>
      <x:c r="F91" s="95" t="str">
        <x:v>阵列</x:v>
      </x:c>
      <x:c r="G91" s="95" t="str">
        <x:v>行业建模区间</x:v>
      </x:c>
      <x:c r="H91" s="95" t="str">
        <x:v>S16;S38;S46</x:v>
      </x:c>
      <x:c r="I91" s="95" t="str">
        <x:v>低</x:v>
      </x:c>
      <x:c r="J91" s="95" t="str">
        <x:v>由公开BOM样本、历史价格锚点及模块ASP约束形成的情景区间</x:v>
      </x:c>
    </x:row>
    <x:row r="92">
      <x:c r="A92" s="95" t="str">
        <x:v>C032</x:v>
      </x:c>
      <x:c r="B92" s="95" t="str">
        <x:v>GaAs PIN阵列</x:v>
      </x:c>
      <x:c r="C92" s="95" t="str">
        <x:v>3.2T</x:v>
      </x:c>
      <x:c r="D92" s="98" t="n">
        <x:v>40</x:v>
      </x:c>
      <x:c r="E92" s="98" t="n">
        <x:v>100</x:v>
      </x:c>
      <x:c r="F92" s="95" t="str">
        <x:v>阵列</x:v>
      </x:c>
      <x:c r="G92" s="95" t="str">
        <x:v>行业建模区间</x:v>
      </x:c>
      <x:c r="H92" s="95" t="str">
        <x:v>S16;S38</x:v>
      </x:c>
      <x:c r="I92" s="95" t="str">
        <x:v>低</x:v>
      </x:c>
      <x:c r="J92" s="95" t="str">
        <x:v>由公开BOM样本、历史价格锚点及模块ASP约束形成的情景区间</x:v>
      </x:c>
    </x:row>
    <x:row r="93">
      <x:c r="A93" s="95" t="str">
        <x:v>C033</x:v>
      </x:c>
      <x:c r="B93" s="95" t="str">
        <x:v>APD</x:v>
      </x:c>
      <x:c r="C93" s="95" t="str">
        <x:v>400G</x:v>
      </x:c>
      <x:c r="D93" s="98" t="n">
        <x:v>5</x:v>
      </x:c>
      <x:c r="E93" s="98" t="n">
        <x:v>15</x:v>
      </x:c>
      <x:c r="F93" s="95" t="str">
        <x:v>颗/阵列</x:v>
      </x:c>
      <x:c r="G93" s="95" t="str">
        <x:v>行业建模区间</x:v>
      </x:c>
      <x:c r="H93" s="95" t="str">
        <x:v>S16;S38;S46</x:v>
      </x:c>
      <x:c r="I93" s="95" t="str">
        <x:v>低</x:v>
      </x:c>
      <x:c r="J93" s="95" t="str">
        <x:v>由公开BOM样本、历史价格锚点及模块ASP约束形成的情景区间</x:v>
      </x:c>
    </x:row>
    <x:row r="94">
      <x:c r="A94" s="95" t="str">
        <x:v>C033</x:v>
      </x:c>
      <x:c r="B94" s="95" t="str">
        <x:v>APD</x:v>
      </x:c>
      <x:c r="C94" s="95" t="str">
        <x:v>800G</x:v>
      </x:c>
      <x:c r="D94" s="98" t="n">
        <x:v>8</x:v>
      </x:c>
      <x:c r="E94" s="98" t="n">
        <x:v>25</x:v>
      </x:c>
      <x:c r="F94" s="95" t="str">
        <x:v>颗/阵列</x:v>
      </x:c>
      <x:c r="G94" s="95" t="str">
        <x:v>行业建模区间</x:v>
      </x:c>
      <x:c r="H94" s="95" t="str">
        <x:v>S16;S38;S46</x:v>
      </x:c>
      <x:c r="I94" s="95" t="str">
        <x:v>低</x:v>
      </x:c>
      <x:c r="J94" s="95" t="str">
        <x:v>由公开BOM样本、历史价格锚点及模块ASP约束形成的情景区间</x:v>
      </x:c>
    </x:row>
    <x:row r="95">
      <x:c r="A95" s="95" t="str">
        <x:v>C033</x:v>
      </x:c>
      <x:c r="B95" s="95" t="str">
        <x:v>APD</x:v>
      </x:c>
      <x:c r="C95" s="95" t="str">
        <x:v>1.6T</x:v>
      </x:c>
      <x:c r="D95" s="98" t="n">
        <x:v>15</x:v>
      </x:c>
      <x:c r="E95" s="98" t="n">
        <x:v>40</x:v>
      </x:c>
      <x:c r="F95" s="95" t="str">
        <x:v>颗/阵列</x:v>
      </x:c>
      <x:c r="G95" s="95" t="str">
        <x:v>行业建模区间</x:v>
      </x:c>
      <x:c r="H95" s="95" t="str">
        <x:v>S16;S38;S46</x:v>
      </x:c>
      <x:c r="I95" s="95" t="str">
        <x:v>低</x:v>
      </x:c>
      <x:c r="J95" s="95" t="str">
        <x:v>由公开BOM样本、历史价格锚点及模块ASP约束形成的情景区间</x:v>
      </x:c>
    </x:row>
    <x:row r="96">
      <x:c r="A96" s="95" t="str">
        <x:v>C033</x:v>
      </x:c>
      <x:c r="B96" s="95" t="str">
        <x:v>APD</x:v>
      </x:c>
      <x:c r="C96" s="95" t="str">
        <x:v>3.2T</x:v>
      </x:c>
      <x:c r="D96" s="98" t="n">
        <x:v>30</x:v>
      </x:c>
      <x:c r="E96" s="98" t="n">
        <x:v>80</x:v>
      </x:c>
      <x:c r="F96" s="95" t="str">
        <x:v>颗/阵列</x:v>
      </x:c>
      <x:c r="G96" s="95" t="str">
        <x:v>行业建模区间</x:v>
      </x:c>
      <x:c r="H96" s="95" t="str">
        <x:v>S16;S38</x:v>
      </x:c>
      <x:c r="I96" s="95" t="str">
        <x:v>低</x:v>
      </x:c>
      <x:c r="J96" s="95" t="str">
        <x:v>由公开BOM样本、历史价格锚点及模块ASP约束形成的情景区间</x:v>
      </x:c>
    </x:row>
    <x:row r="97">
      <x:c r="A97" s="95" t="str">
        <x:v>C034</x:v>
      </x:c>
      <x:c r="B97" s="95" t="str">
        <x:v>MUX/DEMUX</x:v>
      </x:c>
      <x:c r="C97" s="95" t="str">
        <x:v>400G</x:v>
      </x:c>
      <x:c r="D97" s="98" t="n">
        <x:v>5</x:v>
      </x:c>
      <x:c r="E97" s="98" t="n">
        <x:v>20</x:v>
      </x:c>
      <x:c r="F97" s="95" t="str">
        <x:v>套</x:v>
      </x:c>
      <x:c r="G97" s="95" t="str">
        <x:v>行业建模区间</x:v>
      </x:c>
      <x:c r="H97" s="95" t="str">
        <x:v>S16;S38;S46</x:v>
      </x:c>
      <x:c r="I97" s="95" t="str">
        <x:v>低</x:v>
      </x:c>
      <x:c r="J97" s="95" t="str">
        <x:v>由公开BOM样本、历史价格锚点及模块ASP约束形成的情景区间</x:v>
      </x:c>
    </x:row>
    <x:row r="98">
      <x:c r="A98" s="95" t="str">
        <x:v>C034</x:v>
      </x:c>
      <x:c r="B98" s="95" t="str">
        <x:v>MUX/DEMUX</x:v>
      </x:c>
      <x:c r="C98" s="95" t="str">
        <x:v>800G</x:v>
      </x:c>
      <x:c r="D98" s="98" t="n">
        <x:v>10</x:v>
      </x:c>
      <x:c r="E98" s="98" t="n">
        <x:v>35</x:v>
      </x:c>
      <x:c r="F98" s="95" t="str">
        <x:v>套</x:v>
      </x:c>
      <x:c r="G98" s="95" t="str">
        <x:v>行业建模区间</x:v>
      </x:c>
      <x:c r="H98" s="95" t="str">
        <x:v>S16;S38;S46</x:v>
      </x:c>
      <x:c r="I98" s="95" t="str">
        <x:v>低</x:v>
      </x:c>
      <x:c r="J98" s="95" t="str">
        <x:v>由公开BOM样本、历史价格锚点及模块ASP约束形成的情景区间</x:v>
      </x:c>
    </x:row>
    <x:row r="99">
      <x:c r="A99" s="95" t="str">
        <x:v>C034</x:v>
      </x:c>
      <x:c r="B99" s="95" t="str">
        <x:v>MUX/DEMUX</x:v>
      </x:c>
      <x:c r="C99" s="95" t="str">
        <x:v>1.6T</x:v>
      </x:c>
      <x:c r="D99" s="98" t="n">
        <x:v>20</x:v>
      </x:c>
      <x:c r="E99" s="98" t="n">
        <x:v>60</x:v>
      </x:c>
      <x:c r="F99" s="95" t="str">
        <x:v>套</x:v>
      </x:c>
      <x:c r="G99" s="95" t="str">
        <x:v>行业建模区间</x:v>
      </x:c>
      <x:c r="H99" s="95" t="str">
        <x:v>S16;S38;S46</x:v>
      </x:c>
      <x:c r="I99" s="95" t="str">
        <x:v>低</x:v>
      </x:c>
      <x:c r="J99" s="95" t="str">
        <x:v>由公开BOM样本、历史价格锚点及模块ASP约束形成的情景区间</x:v>
      </x:c>
    </x:row>
    <x:row r="100">
      <x:c r="A100" s="95" t="str">
        <x:v>C034</x:v>
      </x:c>
      <x:c r="B100" s="95" t="str">
        <x:v>MUX/DEMUX</x:v>
      </x:c>
      <x:c r="C100" s="95" t="str">
        <x:v>3.2T</x:v>
      </x:c>
      <x:c r="D100" s="98" t="n">
        <x:v>40</x:v>
      </x:c>
      <x:c r="E100" s="98" t="n">
        <x:v>120</x:v>
      </x:c>
      <x:c r="F100" s="95" t="str">
        <x:v>套</x:v>
      </x:c>
      <x:c r="G100" s="95" t="str">
        <x:v>行业建模区间</x:v>
      </x:c>
      <x:c r="H100" s="95" t="str">
        <x:v>S16;S38</x:v>
      </x:c>
      <x:c r="I100" s="95" t="str">
        <x:v>低</x:v>
      </x:c>
      <x:c r="J100" s="95" t="str">
        <x:v>由公开BOM样本、历史价格锚点及模块ASP约束形成的情景区间</x:v>
      </x:c>
    </x:row>
    <x:row r="101">
      <x:c r="A101" s="95" t="str">
        <x:v>C037</x:v>
      </x:c>
      <x:c r="B101" s="95" t="str">
        <x:v>透镜阵列</x:v>
      </x:c>
      <x:c r="C101" s="95" t="str">
        <x:v>400G</x:v>
      </x:c>
      <x:c r="D101" s="98" t="n">
        <x:v>3</x:v>
      </x:c>
      <x:c r="E101" s="98" t="n">
        <x:v>15</x:v>
      </x:c>
      <x:c r="F101" s="95" t="str">
        <x:v>件</x:v>
      </x:c>
      <x:c r="G101" s="95" t="str">
        <x:v>行业建模区间</x:v>
      </x:c>
      <x:c r="H101" s="95" t="str">
        <x:v>S16;S38;S46</x:v>
      </x:c>
      <x:c r="I101" s="95" t="str">
        <x:v>低</x:v>
      </x:c>
      <x:c r="J101" s="95" t="str">
        <x:v>由公开BOM样本、历史价格锚点及模块ASP约束形成的情景区间</x:v>
      </x:c>
    </x:row>
    <x:row r="102">
      <x:c r="A102" s="95" t="str">
        <x:v>C037</x:v>
      </x:c>
      <x:c r="B102" s="95" t="str">
        <x:v>透镜阵列</x:v>
      </x:c>
      <x:c r="C102" s="95" t="str">
        <x:v>800G</x:v>
      </x:c>
      <x:c r="D102" s="98" t="n">
        <x:v>5</x:v>
      </x:c>
      <x:c r="E102" s="98" t="n">
        <x:v>20</x:v>
      </x:c>
      <x:c r="F102" s="95" t="str">
        <x:v>件</x:v>
      </x:c>
      <x:c r="G102" s="95" t="str">
        <x:v>行业建模区间</x:v>
      </x:c>
      <x:c r="H102" s="95" t="str">
        <x:v>S16;S38;S46</x:v>
      </x:c>
      <x:c r="I102" s="95" t="str">
        <x:v>低</x:v>
      </x:c>
      <x:c r="J102" s="95" t="str">
        <x:v>由公开BOM样本、历史价格锚点及模块ASP约束形成的情景区间</x:v>
      </x:c>
    </x:row>
    <x:row r="103">
      <x:c r="A103" s="95" t="str">
        <x:v>C037</x:v>
      </x:c>
      <x:c r="B103" s="95" t="str">
        <x:v>透镜阵列</x:v>
      </x:c>
      <x:c r="C103" s="95" t="str">
        <x:v>1.6T</x:v>
      </x:c>
      <x:c r="D103" s="98" t="n">
        <x:v>8</x:v>
      </x:c>
      <x:c r="E103" s="98" t="n">
        <x:v>30</x:v>
      </x:c>
      <x:c r="F103" s="95" t="str">
        <x:v>件</x:v>
      </x:c>
      <x:c r="G103" s="95" t="str">
        <x:v>行业建模区间</x:v>
      </x:c>
      <x:c r="H103" s="95" t="str">
        <x:v>S16;S38;S46</x:v>
      </x:c>
      <x:c r="I103" s="95" t="str">
        <x:v>低</x:v>
      </x:c>
      <x:c r="J103" s="95" t="str">
        <x:v>由公开BOM样本、历史价格锚点及模块ASP约束形成的情景区间</x:v>
      </x:c>
    </x:row>
    <x:row r="104">
      <x:c r="A104" s="95" t="str">
        <x:v>C037</x:v>
      </x:c>
      <x:c r="B104" s="95" t="str">
        <x:v>透镜阵列</x:v>
      </x:c>
      <x:c r="C104" s="95" t="str">
        <x:v>3.2T</x:v>
      </x:c>
      <x:c r="D104" s="98" t="n">
        <x:v>15</x:v>
      </x:c>
      <x:c r="E104" s="98" t="n">
        <x:v>60</x:v>
      </x:c>
      <x:c r="F104" s="95" t="str">
        <x:v>件</x:v>
      </x:c>
      <x:c r="G104" s="95" t="str">
        <x:v>行业建模区间</x:v>
      </x:c>
      <x:c r="H104" s="95" t="str">
        <x:v>S16;S38</x:v>
      </x:c>
      <x:c r="I104" s="95" t="str">
        <x:v>低</x:v>
      </x:c>
      <x:c r="J104" s="95" t="str">
        <x:v>由公开BOM样本、历史价格锚点及模块ASP约束形成的情景区间</x:v>
      </x:c>
    </x:row>
    <x:row r="105">
      <x:c r="A105" s="95" t="str">
        <x:v>C038</x:v>
      </x:c>
      <x:c r="B105" s="95" t="str">
        <x:v>光纤阵列</x:v>
      </x:c>
      <x:c r="C105" s="95" t="str">
        <x:v>400G</x:v>
      </x:c>
      <x:c r="D105" s="98" t="n">
        <x:v>10</x:v>
      </x:c>
      <x:c r="E105" s="98" t="n">
        <x:v>40</x:v>
      </x:c>
      <x:c r="F105" s="95" t="str">
        <x:v>件</x:v>
      </x:c>
      <x:c r="G105" s="95" t="str">
        <x:v>行业建模区间</x:v>
      </x:c>
      <x:c r="H105" s="95" t="str">
        <x:v>S16;S38;S46</x:v>
      </x:c>
      <x:c r="I105" s="95" t="str">
        <x:v>低</x:v>
      </x:c>
      <x:c r="J105" s="95" t="str">
        <x:v>由公开BOM样本、历史价格锚点及模块ASP约束形成的情景区间</x:v>
      </x:c>
    </x:row>
    <x:row r="106">
      <x:c r="A106" s="95" t="str">
        <x:v>C038</x:v>
      </x:c>
      <x:c r="B106" s="95" t="str">
        <x:v>光纤阵列</x:v>
      </x:c>
      <x:c r="C106" s="95" t="str">
        <x:v>800G</x:v>
      </x:c>
      <x:c r="D106" s="98" t="n">
        <x:v>15</x:v>
      </x:c>
      <x:c r="E106" s="98" t="n">
        <x:v>60</x:v>
      </x:c>
      <x:c r="F106" s="95" t="str">
        <x:v>件</x:v>
      </x:c>
      <x:c r="G106" s="95" t="str">
        <x:v>行业建模区间</x:v>
      </x:c>
      <x:c r="H106" s="95" t="str">
        <x:v>S16;S38;S46</x:v>
      </x:c>
      <x:c r="I106" s="95" t="str">
        <x:v>低</x:v>
      </x:c>
      <x:c r="J106" s="95" t="str">
        <x:v>由公开BOM样本、历史价格锚点及模块ASP约束形成的情景区间</x:v>
      </x:c>
    </x:row>
    <x:row r="107">
      <x:c r="A107" s="95" t="str">
        <x:v>C038</x:v>
      </x:c>
      <x:c r="B107" s="95" t="str">
        <x:v>光纤阵列</x:v>
      </x:c>
      <x:c r="C107" s="95" t="str">
        <x:v>1.6T</x:v>
      </x:c>
      <x:c r="D107" s="98" t="n">
        <x:v>25</x:v>
      </x:c>
      <x:c r="E107" s="98" t="n">
        <x:v>100</x:v>
      </x:c>
      <x:c r="F107" s="95" t="str">
        <x:v>件</x:v>
      </x:c>
      <x:c r="G107" s="95" t="str">
        <x:v>行业建模区间</x:v>
      </x:c>
      <x:c r="H107" s="95" t="str">
        <x:v>S16;S38;S46</x:v>
      </x:c>
      <x:c r="I107" s="95" t="str">
        <x:v>低</x:v>
      </x:c>
      <x:c r="J107" s="95" t="str">
        <x:v>由公开BOM样本、历史价格锚点及模块ASP约束形成的情景区间</x:v>
      </x:c>
    </x:row>
    <x:row r="108">
      <x:c r="A108" s="95" t="str">
        <x:v>C038</x:v>
      </x:c>
      <x:c r="B108" s="95" t="str">
        <x:v>光纤阵列</x:v>
      </x:c>
      <x:c r="C108" s="95" t="str">
        <x:v>3.2T</x:v>
      </x:c>
      <x:c r="D108" s="98" t="n">
        <x:v>50</x:v>
      </x:c>
      <x:c r="E108" s="98" t="n">
        <x:v>200</x:v>
      </x:c>
      <x:c r="F108" s="95" t="str">
        <x:v>件</x:v>
      </x:c>
      <x:c r="G108" s="95" t="str">
        <x:v>行业建模区间</x:v>
      </x:c>
      <x:c r="H108" s="95" t="str">
        <x:v>S16;S38</x:v>
      </x:c>
      <x:c r="I108" s="95" t="str">
        <x:v>低</x:v>
      </x:c>
      <x:c r="J108" s="95" t="str">
        <x:v>由公开BOM样本、历史价格锚点及模块ASP约束形成的情景区间</x:v>
      </x:c>
    </x:row>
    <x:row r="109">
      <x:c r="A109" s="95" t="str">
        <x:v>C041</x:v>
      </x:c>
      <x:c r="B109" s="95" t="str">
        <x:v>分光器</x:v>
      </x:c>
      <x:c r="C109" s="95" t="str">
        <x:v>400G</x:v>
      </x:c>
      <x:c r="D109" s="98" t="n">
        <x:v>3</x:v>
      </x:c>
      <x:c r="E109" s="98" t="n">
        <x:v>15</x:v>
      </x:c>
      <x:c r="F109" s="95" t="str">
        <x:v>件/集成</x:v>
      </x:c>
      <x:c r="G109" s="95" t="str">
        <x:v>行业建模区间</x:v>
      </x:c>
      <x:c r="H109" s="95" t="str">
        <x:v>S16;S38;S46</x:v>
      </x:c>
      <x:c r="I109" s="95" t="str">
        <x:v>低</x:v>
      </x:c>
      <x:c r="J109" s="95" t="str">
        <x:v>由公开BOM样本、历史价格锚点及模块ASP约束形成的情景区间</x:v>
      </x:c>
    </x:row>
    <x:row r="110">
      <x:c r="A110" s="95" t="str">
        <x:v>C041</x:v>
      </x:c>
      <x:c r="B110" s="95" t="str">
        <x:v>分光器</x:v>
      </x:c>
      <x:c r="C110" s="95" t="str">
        <x:v>800G</x:v>
      </x:c>
      <x:c r="D110" s="98" t="n">
        <x:v>5</x:v>
      </x:c>
      <x:c r="E110" s="98" t="n">
        <x:v>25</x:v>
      </x:c>
      <x:c r="F110" s="95" t="str">
        <x:v>件/集成</x:v>
      </x:c>
      <x:c r="G110" s="95" t="str">
        <x:v>行业建模区间</x:v>
      </x:c>
      <x:c r="H110" s="95" t="str">
        <x:v>S16;S38;S46</x:v>
      </x:c>
      <x:c r="I110" s="95" t="str">
        <x:v>低</x:v>
      </x:c>
      <x:c r="J110" s="95" t="str">
        <x:v>由公开BOM样本、历史价格锚点及模块ASP约束形成的情景区间</x:v>
      </x:c>
    </x:row>
    <x:row r="111">
      <x:c r="A111" s="95" t="str">
        <x:v>C041</x:v>
      </x:c>
      <x:c r="B111" s="95" t="str">
        <x:v>分光器</x:v>
      </x:c>
      <x:c r="C111" s="95" t="str">
        <x:v>1.6T</x:v>
      </x:c>
      <x:c r="D111" s="98" t="n">
        <x:v>10</x:v>
      </x:c>
      <x:c r="E111" s="98" t="n">
        <x:v>40</x:v>
      </x:c>
      <x:c r="F111" s="95" t="str">
        <x:v>件/集成</x:v>
      </x:c>
      <x:c r="G111" s="95" t="str">
        <x:v>行业建模区间</x:v>
      </x:c>
      <x:c r="H111" s="95" t="str">
        <x:v>S16;S38;S46</x:v>
      </x:c>
      <x:c r="I111" s="95" t="str">
        <x:v>低</x:v>
      </x:c>
      <x:c r="J111" s="95" t="str">
        <x:v>由公开BOM样本、历史价格锚点及模块ASP约束形成的情景区间</x:v>
      </x:c>
    </x:row>
    <x:row r="112">
      <x:c r="A112" s="95" t="str">
        <x:v>C041</x:v>
      </x:c>
      <x:c r="B112" s="95" t="str">
        <x:v>分光器</x:v>
      </x:c>
      <x:c r="C112" s="95" t="str">
        <x:v>3.2T</x:v>
      </x:c>
      <x:c r="D112" s="98" t="n">
        <x:v>20</x:v>
      </x:c>
      <x:c r="E112" s="98" t="n">
        <x:v>100</x:v>
      </x:c>
      <x:c r="F112" s="95" t="str">
        <x:v>件/集成</x:v>
      </x:c>
      <x:c r="G112" s="95" t="str">
        <x:v>行业建模区间</x:v>
      </x:c>
      <x:c r="H112" s="95" t="str">
        <x:v>S16;S38</x:v>
      </x:c>
      <x:c r="I112" s="95" t="str">
        <x:v>低</x:v>
      </x:c>
      <x:c r="J112" s="95" t="str">
        <x:v>由公开BOM样本、历史价格锚点及模块ASP约束形成的情景区间</x:v>
      </x:c>
    </x:row>
    <x:row r="113">
      <x:c r="A113" s="95" t="str">
        <x:v>C042</x:v>
      </x:c>
      <x:c r="B113" s="95" t="str">
        <x:v>光隔离器</x:v>
      </x:c>
      <x:c r="C113" s="95" t="str">
        <x:v>400G</x:v>
      </x:c>
      <x:c r="D113" s="98" t="n">
        <x:v>3</x:v>
      </x:c>
      <x:c r="E113" s="98" t="n">
        <x:v>12</x:v>
      </x:c>
      <x:c r="F113" s="95" t="str">
        <x:v>件</x:v>
      </x:c>
      <x:c r="G113" s="95" t="str">
        <x:v>行业建模区间</x:v>
      </x:c>
      <x:c r="H113" s="95" t="str">
        <x:v>S16;S38;S46</x:v>
      </x:c>
      <x:c r="I113" s="95" t="str">
        <x:v>低</x:v>
      </x:c>
      <x:c r="J113" s="95" t="str">
        <x:v>由公开BOM样本、历史价格锚点及模块ASP约束形成的情景区间</x:v>
      </x:c>
    </x:row>
    <x:row r="114">
      <x:c r="A114" s="95" t="str">
        <x:v>C042</x:v>
      </x:c>
      <x:c r="B114" s="95" t="str">
        <x:v>光隔离器</x:v>
      </x:c>
      <x:c r="C114" s="95" t="str">
        <x:v>800G</x:v>
      </x:c>
      <x:c r="D114" s="98" t="n">
        <x:v>5</x:v>
      </x:c>
      <x:c r="E114" s="98" t="n">
        <x:v>18</x:v>
      </x:c>
      <x:c r="F114" s="95" t="str">
        <x:v>件</x:v>
      </x:c>
      <x:c r="G114" s="95" t="str">
        <x:v>行业建模区间</x:v>
      </x:c>
      <x:c r="H114" s="95" t="str">
        <x:v>S16;S38;S46</x:v>
      </x:c>
      <x:c r="I114" s="95" t="str">
        <x:v>低</x:v>
      </x:c>
      <x:c r="J114" s="95" t="str">
        <x:v>由公开BOM样本、历史价格锚点及模块ASP约束形成的情景区间</x:v>
      </x:c>
    </x:row>
    <x:row r="115">
      <x:c r="A115" s="95" t="str">
        <x:v>C042</x:v>
      </x:c>
      <x:c r="B115" s="95" t="str">
        <x:v>光隔离器</x:v>
      </x:c>
      <x:c r="C115" s="95" t="str">
        <x:v>1.6T</x:v>
      </x:c>
      <x:c r="D115" s="98" t="n">
        <x:v>8</x:v>
      </x:c>
      <x:c r="E115" s="98" t="n">
        <x:v>25</x:v>
      </x:c>
      <x:c r="F115" s="95" t="str">
        <x:v>件</x:v>
      </x:c>
      <x:c r="G115" s="95" t="str">
        <x:v>行业建模区间</x:v>
      </x:c>
      <x:c r="H115" s="95" t="str">
        <x:v>S16;S38;S46</x:v>
      </x:c>
      <x:c r="I115" s="95" t="str">
        <x:v>低</x:v>
      </x:c>
      <x:c r="J115" s="95" t="str">
        <x:v>由公开BOM样本、历史价格锚点及模块ASP约束形成的情景区间</x:v>
      </x:c>
    </x:row>
    <x:row r="116">
      <x:c r="A116" s="95" t="str">
        <x:v>C042</x:v>
      </x:c>
      <x:c r="B116" s="95" t="str">
        <x:v>光隔离器</x:v>
      </x:c>
      <x:c r="C116" s="95" t="str">
        <x:v>3.2T</x:v>
      </x:c>
      <x:c r="D116" s="98" t="n">
        <x:v>15</x:v>
      </x:c>
      <x:c r="E116" s="98" t="n">
        <x:v>50</x:v>
      </x:c>
      <x:c r="F116" s="95" t="str">
        <x:v>件</x:v>
      </x:c>
      <x:c r="G116" s="95" t="str">
        <x:v>行业建模区间</x:v>
      </x:c>
      <x:c r="H116" s="95" t="str">
        <x:v>S16;S38</x:v>
      </x:c>
      <x:c r="I116" s="95" t="str">
        <x:v>低</x:v>
      </x:c>
      <x:c r="J116" s="95" t="str">
        <x:v>由公开BOM样本、历史价格锚点及模块ASP约束形成的情景区间</x:v>
      </x:c>
    </x:row>
    <x:row r="117">
      <x:c r="A117" s="95" t="str">
        <x:v>C043</x:v>
      </x:c>
      <x:c r="B117" s="95" t="str">
        <x:v>监控PD/波长锁定</x:v>
      </x:c>
      <x:c r="C117" s="95" t="str">
        <x:v>400G</x:v>
      </x:c>
      <x:c r="D117" s="98" t="n">
        <x:v>1</x:v>
      </x:c>
      <x:c r="E117" s="98" t="n">
        <x:v>8</x:v>
      </x:c>
      <x:c r="F117" s="95" t="str">
        <x:v>套</x:v>
      </x:c>
      <x:c r="G117" s="95" t="str">
        <x:v>行业建模区间</x:v>
      </x:c>
      <x:c r="H117" s="95" t="str">
        <x:v>S16;S38;S46</x:v>
      </x:c>
      <x:c r="I117" s="95" t="str">
        <x:v>低</x:v>
      </x:c>
      <x:c r="J117" s="95" t="str">
        <x:v>由公开BOM样本、历史价格锚点及模块ASP约束形成的情景区间</x:v>
      </x:c>
    </x:row>
    <x:row r="118">
      <x:c r="A118" s="95" t="str">
        <x:v>C043</x:v>
      </x:c>
      <x:c r="B118" s="95" t="str">
        <x:v>监控PD/波长锁定</x:v>
      </x:c>
      <x:c r="C118" s="95" t="str">
        <x:v>800G</x:v>
      </x:c>
      <x:c r="D118" s="98" t="n">
        <x:v>2</x:v>
      </x:c>
      <x:c r="E118" s="98" t="n">
        <x:v>10</x:v>
      </x:c>
      <x:c r="F118" s="95" t="str">
        <x:v>套</x:v>
      </x:c>
      <x:c r="G118" s="95" t="str">
        <x:v>行业建模区间</x:v>
      </x:c>
      <x:c r="H118" s="95" t="str">
        <x:v>S16;S38;S46</x:v>
      </x:c>
      <x:c r="I118" s="95" t="str">
        <x:v>低</x:v>
      </x:c>
      <x:c r="J118" s="95" t="str">
        <x:v>由公开BOM样本、历史价格锚点及模块ASP约束形成的情景区间</x:v>
      </x:c>
    </x:row>
    <x:row r="119">
      <x:c r="A119" s="95" t="str">
        <x:v>C043</x:v>
      </x:c>
      <x:c r="B119" s="95" t="str">
        <x:v>监控PD/波长锁定</x:v>
      </x:c>
      <x:c r="C119" s="95" t="str">
        <x:v>1.6T</x:v>
      </x:c>
      <x:c r="D119" s="98" t="n">
        <x:v>3</x:v>
      </x:c>
      <x:c r="E119" s="98" t="n">
        <x:v>15</x:v>
      </x:c>
      <x:c r="F119" s="95" t="str">
        <x:v>套</x:v>
      </x:c>
      <x:c r="G119" s="95" t="str">
        <x:v>行业建模区间</x:v>
      </x:c>
      <x:c r="H119" s="95" t="str">
        <x:v>S16;S38;S46</x:v>
      </x:c>
      <x:c r="I119" s="95" t="str">
        <x:v>低</x:v>
      </x:c>
      <x:c r="J119" s="95" t="str">
        <x:v>由公开BOM样本、历史价格锚点及模块ASP约束形成的情景区间</x:v>
      </x:c>
    </x:row>
    <x:row r="120">
      <x:c r="A120" s="95" t="str">
        <x:v>C043</x:v>
      </x:c>
      <x:c r="B120" s="95" t="str">
        <x:v>监控PD/波长锁定</x:v>
      </x:c>
      <x:c r="C120" s="95" t="str">
        <x:v>3.2T</x:v>
      </x:c>
      <x:c r="D120" s="98" t="n">
        <x:v>5</x:v>
      </x:c>
      <x:c r="E120" s="98" t="n">
        <x:v>30</x:v>
      </x:c>
      <x:c r="F120" s="95" t="str">
        <x:v>套</x:v>
      </x:c>
      <x:c r="G120" s="95" t="str">
        <x:v>行业建模区间</x:v>
      </x:c>
      <x:c r="H120" s="95" t="str">
        <x:v>S16;S38</x:v>
      </x:c>
      <x:c r="I120" s="95" t="str">
        <x:v>低</x:v>
      </x:c>
      <x:c r="J120" s="95" t="str">
        <x:v>由公开BOM样本、历史价格锚点及模块ASP约束形成的情景区间</x:v>
      </x:c>
    </x:row>
    <x:row r="121">
      <x:c r="A121" s="95" t="str">
        <x:v>C044</x:v>
      </x:c>
      <x:c r="B121" s="95" t="str">
        <x:v>MPO/MTP插座</x:v>
      </x:c>
      <x:c r="C121" s="95" t="str">
        <x:v>400G</x:v>
      </x:c>
      <x:c r="D121" s="98" t="n">
        <x:v>16.51</x:v>
      </x:c>
      <x:c r="E121" s="98" t="n">
        <x:v>43.75</x:v>
      </x:c>
      <x:c r="F121" s="95" t="str">
        <x:v>件</x:v>
      </x:c>
      <x:c r="G121" s="95" t="str">
        <x:v>公开分销目录价</x:v>
      </x:c>
      <x:c r="H121" s="95" t="str">
        <x:v>S36</x:v>
      </x:c>
      <x:c r="I121" s="95" t="str">
        <x:v>中</x:v>
      </x:c>
      <x:c r="J121" s="95" t="str">
        <x:v>代表性授权分销料号，不等于模块厂BOM成交价</x:v>
      </x:c>
    </x:row>
    <x:row r="122">
      <x:c r="A122" s="95" t="str">
        <x:v>C044</x:v>
      </x:c>
      <x:c r="B122" s="95" t="str">
        <x:v>MPO/MTP插座</x:v>
      </x:c>
      <x:c r="C122" s="95" t="str">
        <x:v>800G</x:v>
      </x:c>
      <x:c r="D122" s="98" t="n">
        <x:v>16.51</x:v>
      </x:c>
      <x:c r="E122" s="98" t="n">
        <x:v>43.75</x:v>
      </x:c>
      <x:c r="F122" s="95" t="str">
        <x:v>件</x:v>
      </x:c>
      <x:c r="G122" s="95" t="str">
        <x:v>公开分销目录价</x:v>
      </x:c>
      <x:c r="H122" s="95" t="str">
        <x:v>S36</x:v>
      </x:c>
      <x:c r="I122" s="95" t="str">
        <x:v>中</x:v>
      </x:c>
      <x:c r="J122" s="95" t="str">
        <x:v>代表性授权分销料号，不等于模块厂BOM成交价</x:v>
      </x:c>
    </x:row>
    <x:row r="123">
      <x:c r="A123" s="95" t="str">
        <x:v>C044</x:v>
      </x:c>
      <x:c r="B123" s="95" t="str">
        <x:v>MPO/MTP插座</x:v>
      </x:c>
      <x:c r="C123" s="95" t="str">
        <x:v>1.6T</x:v>
      </x:c>
      <x:c r="D123" s="98" t="n">
        <x:v>16.51</x:v>
      </x:c>
      <x:c r="E123" s="98" t="n">
        <x:v>43.75</x:v>
      </x:c>
      <x:c r="F123" s="95" t="str">
        <x:v>件</x:v>
      </x:c>
      <x:c r="G123" s="95" t="str">
        <x:v>公开分销目录价</x:v>
      </x:c>
      <x:c r="H123" s="95" t="str">
        <x:v>S36</x:v>
      </x:c>
      <x:c r="I123" s="95" t="str">
        <x:v>中</x:v>
      </x:c>
      <x:c r="J123" s="95" t="str">
        <x:v>代表性授权分销料号，不等于模块厂BOM成交价</x:v>
      </x:c>
    </x:row>
    <x:row r="124">
      <x:c r="A124" s="95" t="str">
        <x:v>C044</x:v>
      </x:c>
      <x:c r="B124" s="95" t="str">
        <x:v>MPO/MTP插座</x:v>
      </x:c>
      <x:c r="C124" s="95" t="str">
        <x:v>3.2T</x:v>
      </x:c>
      <x:c r="D124" s="98" t="n">
        <x:v>16.51</x:v>
      </x:c>
      <x:c r="E124" s="98" t="n">
        <x:v>43.75</x:v>
      </x:c>
      <x:c r="F124" s="95" t="str">
        <x:v>件</x:v>
      </x:c>
      <x:c r="G124" s="95" t="str">
        <x:v>公开分销目录价</x:v>
      </x:c>
      <x:c r="H124" s="95" t="str">
        <x:v>S36</x:v>
      </x:c>
      <x:c r="I124" s="95" t="str">
        <x:v>中</x:v>
      </x:c>
      <x:c r="J124" s="95" t="str">
        <x:v>代表性授权分销料号，不等于模块厂BOM成交价</x:v>
      </x:c>
    </x:row>
    <x:row r="125">
      <x:c r="A125" s="95" t="str">
        <x:v>C045</x:v>
      </x:c>
      <x:c r="B125" s="95" t="str">
        <x:v>MT插芯</x:v>
      </x:c>
      <x:c r="C125" s="95" t="str">
        <x:v>400G</x:v>
      </x:c>
      <x:c r="D125" s="98" t="n">
        <x:v>5</x:v>
      </x:c>
      <x:c r="E125" s="98" t="n">
        <x:v>20</x:v>
      </x:c>
      <x:c r="F125" s="95" t="str">
        <x:v>件</x:v>
      </x:c>
      <x:c r="G125" s="95" t="str">
        <x:v>行业建模区间</x:v>
      </x:c>
      <x:c r="H125" s="95" t="str">
        <x:v>S16;S38;S46</x:v>
      </x:c>
      <x:c r="I125" s="95" t="str">
        <x:v>低</x:v>
      </x:c>
      <x:c r="J125" s="95" t="str">
        <x:v>由公开BOM样本、历史价格锚点及模块ASP约束形成的情景区间</x:v>
      </x:c>
    </x:row>
    <x:row r="126">
      <x:c r="A126" s="95" t="str">
        <x:v>C045</x:v>
      </x:c>
      <x:c r="B126" s="95" t="str">
        <x:v>MT插芯</x:v>
      </x:c>
      <x:c r="C126" s="95" t="str">
        <x:v>800G</x:v>
      </x:c>
      <x:c r="D126" s="98" t="n">
        <x:v>8</x:v>
      </x:c>
      <x:c r="E126" s="98" t="n">
        <x:v>25</x:v>
      </x:c>
      <x:c r="F126" s="95" t="str">
        <x:v>件</x:v>
      </x:c>
      <x:c r="G126" s="95" t="str">
        <x:v>行业建模区间</x:v>
      </x:c>
      <x:c r="H126" s="95" t="str">
        <x:v>S16;S38;S46</x:v>
      </x:c>
      <x:c r="I126" s="95" t="str">
        <x:v>低</x:v>
      </x:c>
      <x:c r="J126" s="95" t="str">
        <x:v>由公开BOM样本、历史价格锚点及模块ASP约束形成的情景区间</x:v>
      </x:c>
    </x:row>
    <x:row r="127">
      <x:c r="A127" s="95" t="str">
        <x:v>C045</x:v>
      </x:c>
      <x:c r="B127" s="95" t="str">
        <x:v>MT插芯</x:v>
      </x:c>
      <x:c r="C127" s="95" t="str">
        <x:v>1.6T</x:v>
      </x:c>
      <x:c r="D127" s="98" t="n">
        <x:v>10</x:v>
      </x:c>
      <x:c r="E127" s="98" t="n">
        <x:v>35</x:v>
      </x:c>
      <x:c r="F127" s="95" t="str">
        <x:v>件</x:v>
      </x:c>
      <x:c r="G127" s="95" t="str">
        <x:v>行业建模区间</x:v>
      </x:c>
      <x:c r="H127" s="95" t="str">
        <x:v>S16;S38;S46</x:v>
      </x:c>
      <x:c r="I127" s="95" t="str">
        <x:v>低</x:v>
      </x:c>
      <x:c r="J127" s="95" t="str">
        <x:v>由公开BOM样本、历史价格锚点及模块ASP约束形成的情景区间</x:v>
      </x:c>
    </x:row>
    <x:row r="128">
      <x:c r="A128" s="95" t="str">
        <x:v>C045</x:v>
      </x:c>
      <x:c r="B128" s="95" t="str">
        <x:v>MT插芯</x:v>
      </x:c>
      <x:c r="C128" s="95" t="str">
        <x:v>3.2T</x:v>
      </x:c>
      <x:c r="D128" s="98" t="n">
        <x:v>15</x:v>
      </x:c>
      <x:c r="E128" s="98" t="n">
        <x:v>50</x:v>
      </x:c>
      <x:c r="F128" s="95" t="str">
        <x:v>件</x:v>
      </x:c>
      <x:c r="G128" s="95" t="str">
        <x:v>行业建模区间</x:v>
      </x:c>
      <x:c r="H128" s="95" t="str">
        <x:v>S16;S38</x:v>
      </x:c>
      <x:c r="I128" s="95" t="str">
        <x:v>低</x:v>
      </x:c>
      <x:c r="J128" s="95" t="str">
        <x:v>由公开BOM样本、历史价格锚点及模块ASP约束形成的情景区间</x:v>
      </x:c>
    </x:row>
    <x:row r="129">
      <x:c r="A129" s="95" t="str">
        <x:v>C046</x:v>
      </x:c>
      <x:c r="B129" s="95" t="str">
        <x:v>导针与弹簧</x:v>
      </x:c>
      <x:c r="C129" s="95" t="str">
        <x:v>400G</x:v>
      </x:c>
      <x:c r="D129" s="98" t="n">
        <x:v>1</x:v>
      </x:c>
      <x:c r="E129" s="98" t="n">
        <x:v>5</x:v>
      </x:c>
      <x:c r="F129" s="95" t="str">
        <x:v>套</x:v>
      </x:c>
      <x:c r="G129" s="95" t="str">
        <x:v>行业建模区间</x:v>
      </x:c>
      <x:c r="H129" s="95" t="str">
        <x:v>S16;S38;S46</x:v>
      </x:c>
      <x:c r="I129" s="95" t="str">
        <x:v>低</x:v>
      </x:c>
      <x:c r="J129" s="95" t="str">
        <x:v>由公开BOM样本、历史价格锚点及模块ASP约束形成的情景区间</x:v>
      </x:c>
    </x:row>
    <x:row r="130">
      <x:c r="A130" s="95" t="str">
        <x:v>C046</x:v>
      </x:c>
      <x:c r="B130" s="95" t="str">
        <x:v>导针与弹簧</x:v>
      </x:c>
      <x:c r="C130" s="95" t="str">
        <x:v>800G</x:v>
      </x:c>
      <x:c r="D130" s="98" t="n">
        <x:v>1</x:v>
      </x:c>
      <x:c r="E130" s="98" t="n">
        <x:v>6</x:v>
      </x:c>
      <x:c r="F130" s="95" t="str">
        <x:v>套</x:v>
      </x:c>
      <x:c r="G130" s="95" t="str">
        <x:v>行业建模区间</x:v>
      </x:c>
      <x:c r="H130" s="95" t="str">
        <x:v>S16;S38;S46</x:v>
      </x:c>
      <x:c r="I130" s="95" t="str">
        <x:v>低</x:v>
      </x:c>
      <x:c r="J130" s="95" t="str">
        <x:v>由公开BOM样本、历史价格锚点及模块ASP约束形成的情景区间</x:v>
      </x:c>
    </x:row>
    <x:row r="131">
      <x:c r="A131" s="95" t="str">
        <x:v>C046</x:v>
      </x:c>
      <x:c r="B131" s="95" t="str">
        <x:v>导针与弹簧</x:v>
      </x:c>
      <x:c r="C131" s="95" t="str">
        <x:v>1.6T</x:v>
      </x:c>
      <x:c r="D131" s="98" t="n">
        <x:v>2</x:v>
      </x:c>
      <x:c r="E131" s="98" t="n">
        <x:v>8</x:v>
      </x:c>
      <x:c r="F131" s="95" t="str">
        <x:v>套</x:v>
      </x:c>
      <x:c r="G131" s="95" t="str">
        <x:v>行业建模区间</x:v>
      </x:c>
      <x:c r="H131" s="95" t="str">
        <x:v>S16;S38;S46</x:v>
      </x:c>
      <x:c r="I131" s="95" t="str">
        <x:v>低</x:v>
      </x:c>
      <x:c r="J131" s="95" t="str">
        <x:v>由公开BOM样本、历史价格锚点及模块ASP约束形成的情景区间</x:v>
      </x:c>
    </x:row>
    <x:row r="132">
      <x:c r="A132" s="95" t="str">
        <x:v>C046</x:v>
      </x:c>
      <x:c r="B132" s="95" t="str">
        <x:v>导针与弹簧</x:v>
      </x:c>
      <x:c r="C132" s="95" t="str">
        <x:v>3.2T</x:v>
      </x:c>
      <x:c r="D132" s="98" t="n">
        <x:v>3</x:v>
      </x:c>
      <x:c r="E132" s="98" t="n">
        <x:v>10</x:v>
      </x:c>
      <x:c r="F132" s="95" t="str">
        <x:v>套</x:v>
      </x:c>
      <x:c r="G132" s="95" t="str">
        <x:v>行业建模区间</x:v>
      </x:c>
      <x:c r="H132" s="95" t="str">
        <x:v>S16;S38</x:v>
      </x:c>
      <x:c r="I132" s="95" t="str">
        <x:v>低</x:v>
      </x:c>
      <x:c r="J132" s="95" t="str">
        <x:v>由公开BOM样本、历史价格锚点及模块ASP约束形成的情景区间</x:v>
      </x:c>
    </x:row>
    <x:row r="133">
      <x:c r="A133" s="95" t="str">
        <x:v>C047</x:v>
      </x:c>
      <x:c r="B133" s="95" t="str">
        <x:v>LC/Dual LC</x:v>
      </x:c>
      <x:c r="C133" s="95" t="str">
        <x:v>400G</x:v>
      </x:c>
      <x:c r="D133" s="98" t="n">
        <x:v>3</x:v>
      </x:c>
      <x:c r="E133" s="98" t="n">
        <x:v>15</x:v>
      </x:c>
      <x:c r="F133" s="95" t="str">
        <x:v>套</x:v>
      </x:c>
      <x:c r="G133" s="95" t="str">
        <x:v>行业建模区间</x:v>
      </x:c>
      <x:c r="H133" s="95" t="str">
        <x:v>S16;S38;S46</x:v>
      </x:c>
      <x:c r="I133" s="95" t="str">
        <x:v>低</x:v>
      </x:c>
      <x:c r="J133" s="95" t="str">
        <x:v>由公开BOM样本、历史价格锚点及模块ASP约束形成的情景区间</x:v>
      </x:c>
    </x:row>
    <x:row r="134">
      <x:c r="A134" s="95" t="str">
        <x:v>C047</x:v>
      </x:c>
      <x:c r="B134" s="95" t="str">
        <x:v>LC/Dual LC</x:v>
      </x:c>
      <x:c r="C134" s="95" t="str">
        <x:v>800G</x:v>
      </x:c>
      <x:c r="D134" s="98" t="n">
        <x:v>4</x:v>
      </x:c>
      <x:c r="E134" s="98" t="n">
        <x:v>20</x:v>
      </x:c>
      <x:c r="F134" s="95" t="str">
        <x:v>套</x:v>
      </x:c>
      <x:c r="G134" s="95" t="str">
        <x:v>行业建模区间</x:v>
      </x:c>
      <x:c r="H134" s="95" t="str">
        <x:v>S16;S38;S46</x:v>
      </x:c>
      <x:c r="I134" s="95" t="str">
        <x:v>低</x:v>
      </x:c>
      <x:c r="J134" s="95" t="str">
        <x:v>由公开BOM样本、历史价格锚点及模块ASP约束形成的情景区间</x:v>
      </x:c>
    </x:row>
    <x:row r="135">
      <x:c r="A135" s="95" t="str">
        <x:v>C047</x:v>
      </x:c>
      <x:c r="B135" s="95" t="str">
        <x:v>LC/Dual LC</x:v>
      </x:c>
      <x:c r="C135" s="95" t="str">
        <x:v>1.6T</x:v>
      </x:c>
      <x:c r="D135" s="98" t="n">
        <x:v>5</x:v>
      </x:c>
      <x:c r="E135" s="98" t="n">
        <x:v>25</x:v>
      </x:c>
      <x:c r="F135" s="95" t="str">
        <x:v>套</x:v>
      </x:c>
      <x:c r="G135" s="95" t="str">
        <x:v>行业建模区间</x:v>
      </x:c>
      <x:c r="H135" s="95" t="str">
        <x:v>S16;S38;S46</x:v>
      </x:c>
      <x:c r="I135" s="95" t="str">
        <x:v>低</x:v>
      </x:c>
      <x:c r="J135" s="95" t="str">
        <x:v>由公开BOM样本、历史价格锚点及模块ASP约束形成的情景区间</x:v>
      </x:c>
    </x:row>
    <x:row r="136">
      <x:c r="A136" s="95" t="str">
        <x:v>C047</x:v>
      </x:c>
      <x:c r="B136" s="95" t="str">
        <x:v>LC/Dual LC</x:v>
      </x:c>
      <x:c r="C136" s="95" t="str">
        <x:v>3.2T</x:v>
      </x:c>
      <x:c r="D136" s="98" t="n">
        <x:v>10</x:v>
      </x:c>
      <x:c r="E136" s="98" t="n">
        <x:v>40</x:v>
      </x:c>
      <x:c r="F136" s="95" t="str">
        <x:v>套</x:v>
      </x:c>
      <x:c r="G136" s="95" t="str">
        <x:v>行业建模区间</x:v>
      </x:c>
      <x:c r="H136" s="95" t="str">
        <x:v>S16;S38</x:v>
      </x:c>
      <x:c r="I136" s="95" t="str">
        <x:v>低</x:v>
      </x:c>
      <x:c r="J136" s="95" t="str">
        <x:v>由公开BOM样本、历史价格锚点及模块ASP约束形成的情景区间</x:v>
      </x:c>
    </x:row>
    <x:row r="137">
      <x:c r="A137" s="95" t="str">
        <x:v>C048</x:v>
      </x:c>
      <x:c r="B137" s="95" t="str">
        <x:v>SN/MDC/CS连接器</x:v>
      </x:c>
      <x:c r="C137" s="95" t="str">
        <x:v>400G</x:v>
      </x:c>
      <x:c r="D137" s="98" t="n">
        <x:v>10</x:v>
      </x:c>
      <x:c r="E137" s="98" t="n">
        <x:v>35</x:v>
      </x:c>
      <x:c r="F137" s="95" t="str">
        <x:v>套</x:v>
      </x:c>
      <x:c r="G137" s="95" t="str">
        <x:v>行业建模区间</x:v>
      </x:c>
      <x:c r="H137" s="95" t="str">
        <x:v>S16;S38;S46</x:v>
      </x:c>
      <x:c r="I137" s="95" t="str">
        <x:v>低</x:v>
      </x:c>
      <x:c r="J137" s="95" t="str">
        <x:v>由公开BOM样本、历史价格锚点及模块ASP约束形成的情景区间</x:v>
      </x:c>
    </x:row>
    <x:row r="138">
      <x:c r="A138" s="95" t="str">
        <x:v>C048</x:v>
      </x:c>
      <x:c r="B138" s="95" t="str">
        <x:v>SN/MDC/CS连接器</x:v>
      </x:c>
      <x:c r="C138" s="95" t="str">
        <x:v>800G</x:v>
      </x:c>
      <x:c r="D138" s="98" t="n">
        <x:v>15</x:v>
      </x:c>
      <x:c r="E138" s="98" t="n">
        <x:v>50</x:v>
      </x:c>
      <x:c r="F138" s="95" t="str">
        <x:v>套</x:v>
      </x:c>
      <x:c r="G138" s="95" t="str">
        <x:v>行业建模区间</x:v>
      </x:c>
      <x:c r="H138" s="95" t="str">
        <x:v>S16;S38;S46</x:v>
      </x:c>
      <x:c r="I138" s="95" t="str">
        <x:v>低</x:v>
      </x:c>
      <x:c r="J138" s="95" t="str">
        <x:v>由公开BOM样本、历史价格锚点及模块ASP约束形成的情景区间</x:v>
      </x:c>
    </x:row>
    <x:row r="139">
      <x:c r="A139" s="95" t="str">
        <x:v>C048</x:v>
      </x:c>
      <x:c r="B139" s="95" t="str">
        <x:v>SN/MDC/CS连接器</x:v>
      </x:c>
      <x:c r="C139" s="95" t="str">
        <x:v>1.6T</x:v>
      </x:c>
      <x:c r="D139" s="98" t="n">
        <x:v>20</x:v>
      </x:c>
      <x:c r="E139" s="98" t="n">
        <x:v>70</x:v>
      </x:c>
      <x:c r="F139" s="95" t="str">
        <x:v>套</x:v>
      </x:c>
      <x:c r="G139" s="95" t="str">
        <x:v>行业建模区间</x:v>
      </x:c>
      <x:c r="H139" s="95" t="str">
        <x:v>S16;S38;S46</x:v>
      </x:c>
      <x:c r="I139" s="95" t="str">
        <x:v>低</x:v>
      </x:c>
      <x:c r="J139" s="95" t="str">
        <x:v>由公开BOM样本、历史价格锚点及模块ASP约束形成的情景区间</x:v>
      </x:c>
    </x:row>
    <x:row r="140">
      <x:c r="A140" s="95" t="str">
        <x:v>C048</x:v>
      </x:c>
      <x:c r="B140" s="95" t="str">
        <x:v>SN/MDC/CS连接器</x:v>
      </x:c>
      <x:c r="C140" s="95" t="str">
        <x:v>3.2T</x:v>
      </x:c>
      <x:c r="D140" s="98" t="n">
        <x:v>30</x:v>
      </x:c>
      <x:c r="E140" s="98" t="n">
        <x:v>100</x:v>
      </x:c>
      <x:c r="F140" s="95" t="str">
        <x:v>套</x:v>
      </x:c>
      <x:c r="G140" s="95" t="str">
        <x:v>行业建模区间</x:v>
      </x:c>
      <x:c r="H140" s="95" t="str">
        <x:v>S16;S38</x:v>
      </x:c>
      <x:c r="I140" s="95" t="str">
        <x:v>低</x:v>
      </x:c>
      <x:c r="J140" s="95" t="str">
        <x:v>由公开BOM样本、历史价格锚点及模块ASP约束形成的情景区间</x:v>
      </x:c>
    </x:row>
    <x:row r="141">
      <x:c r="A141" s="95" t="str">
        <x:v>C049</x:v>
      </x:c>
      <x:c r="B141" s="95" t="str">
        <x:v>单模光纤</x:v>
      </x:c>
      <x:c r="C141" s="95" t="str">
        <x:v>400G</x:v>
      </x:c>
      <x:c r="D141" s="98" t="n">
        <x:v>0.2</x:v>
      </x:c>
      <x:c r="E141" s="98" t="n">
        <x:v>2</x:v>
      </x:c>
      <x:c r="F141" s="95" t="str">
        <x:v>米</x:v>
      </x:c>
      <x:c r="G141" s="95" t="str">
        <x:v>公开目录/行业区间</x:v>
      </x:c>
      <x:c r="H141" s="95" t="str">
        <x:v>S23</x:v>
      </x:c>
      <x:c r="I141" s="95" t="str">
        <x:v>中</x:v>
      </x:c>
      <x:c r="J141" s="95" t="str">
        <x:v>由公开BOM样本、历史价格锚点及模块ASP约束形成的情景区间</x:v>
      </x:c>
    </x:row>
    <x:row r="142">
      <x:c r="A142" s="95" t="str">
        <x:v>C049</x:v>
      </x:c>
      <x:c r="B142" s="95" t="str">
        <x:v>单模光纤</x:v>
      </x:c>
      <x:c r="C142" s="95" t="str">
        <x:v>800G</x:v>
      </x:c>
      <x:c r="D142" s="98" t="n">
        <x:v>0.2</x:v>
      </x:c>
      <x:c r="E142" s="98" t="n">
        <x:v>2</x:v>
      </x:c>
      <x:c r="F142" s="95" t="str">
        <x:v>米</x:v>
      </x:c>
      <x:c r="G142" s="95" t="str">
        <x:v>公开目录/行业区间</x:v>
      </x:c>
      <x:c r="H142" s="95" t="str">
        <x:v>S23</x:v>
      </x:c>
      <x:c r="I142" s="95" t="str">
        <x:v>中</x:v>
      </x:c>
      <x:c r="J142" s="95" t="str">
        <x:v>由公开BOM样本、历史价格锚点及模块ASP约束形成的情景区间</x:v>
      </x:c>
    </x:row>
    <x:row r="143">
      <x:c r="A143" s="95" t="str">
        <x:v>C049</x:v>
      </x:c>
      <x:c r="B143" s="95" t="str">
        <x:v>单模光纤</x:v>
      </x:c>
      <x:c r="C143" s="95" t="str">
        <x:v>1.6T</x:v>
      </x:c>
      <x:c r="D143" s="98" t="n">
        <x:v>0.3</x:v>
      </x:c>
      <x:c r="E143" s="98" t="n">
        <x:v>3</x:v>
      </x:c>
      <x:c r="F143" s="95" t="str">
        <x:v>米</x:v>
      </x:c>
      <x:c r="G143" s="95" t="str">
        <x:v>公开目录/行业区间</x:v>
      </x:c>
      <x:c r="H143" s="95" t="str">
        <x:v>S23</x:v>
      </x:c>
      <x:c r="I143" s="95" t="str">
        <x:v>中</x:v>
      </x:c>
      <x:c r="J143" s="95" t="str">
        <x:v>由公开BOM样本、历史价格锚点及模块ASP约束形成的情景区间</x:v>
      </x:c>
    </x:row>
    <x:row r="144">
      <x:c r="A144" s="95" t="str">
        <x:v>C049</x:v>
      </x:c>
      <x:c r="B144" s="95" t="str">
        <x:v>单模光纤</x:v>
      </x:c>
      <x:c r="C144" s="95" t="str">
        <x:v>3.2T</x:v>
      </x:c>
      <x:c r="D144" s="98" t="n">
        <x:v>0.5</x:v>
      </x:c>
      <x:c r="E144" s="98" t="n">
        <x:v>5</x:v>
      </x:c>
      <x:c r="F144" s="95" t="str">
        <x:v>米</x:v>
      </x:c>
      <x:c r="G144" s="95" t="str">
        <x:v>公开目录/行业区间</x:v>
      </x:c>
      <x:c r="H144" s="95" t="str">
        <x:v>S23</x:v>
      </x:c>
      <x:c r="I144" s="95" t="str">
        <x:v>中</x:v>
      </x:c>
      <x:c r="J144" s="95" t="str">
        <x:v>由公开BOM样本、历史价格锚点及模块ASP约束形成的情景区间</x:v>
      </x:c>
    </x:row>
    <x:row r="145">
      <x:c r="A145" s="95" t="str">
        <x:v>C050</x:v>
      </x:c>
      <x:c r="B145" s="95" t="str">
        <x:v>多模光纤</x:v>
      </x:c>
      <x:c r="C145" s="95" t="str">
        <x:v>400G</x:v>
      </x:c>
      <x:c r="D145" s="98" t="n">
        <x:v>0.5</x:v>
      </x:c>
      <x:c r="E145" s="98" t="n">
        <x:v>3</x:v>
      </x:c>
      <x:c r="F145" s="95" t="str">
        <x:v>米</x:v>
      </x:c>
      <x:c r="G145" s="95" t="str">
        <x:v>公开目录/行业区间</x:v>
      </x:c>
      <x:c r="H145" s="95" t="str">
        <x:v>S23</x:v>
      </x:c>
      <x:c r="I145" s="95" t="str">
        <x:v>中</x:v>
      </x:c>
      <x:c r="J145" s="95" t="str">
        <x:v>由公开BOM样本、历史价格锚点及模块ASP约束形成的情景区间</x:v>
      </x:c>
    </x:row>
    <x:row r="146">
      <x:c r="A146" s="95" t="str">
        <x:v>C050</x:v>
      </x:c>
      <x:c r="B146" s="95" t="str">
        <x:v>多模光纤</x:v>
      </x:c>
      <x:c r="C146" s="95" t="str">
        <x:v>800G</x:v>
      </x:c>
      <x:c r="D146" s="98" t="n">
        <x:v>0.5</x:v>
      </x:c>
      <x:c r="E146" s="98" t="n">
        <x:v>3</x:v>
      </x:c>
      <x:c r="F146" s="95" t="str">
        <x:v>米</x:v>
      </x:c>
      <x:c r="G146" s="95" t="str">
        <x:v>公开目录/行业区间</x:v>
      </x:c>
      <x:c r="H146" s="95" t="str">
        <x:v>S23</x:v>
      </x:c>
      <x:c r="I146" s="95" t="str">
        <x:v>中</x:v>
      </x:c>
      <x:c r="J146" s="95" t="str">
        <x:v>由公开BOM样本、历史价格锚点及模块ASP约束形成的情景区间</x:v>
      </x:c>
    </x:row>
    <x:row r="147">
      <x:c r="A147" s="95" t="str">
        <x:v>C050</x:v>
      </x:c>
      <x:c r="B147" s="95" t="str">
        <x:v>多模光纤</x:v>
      </x:c>
      <x:c r="C147" s="95" t="str">
        <x:v>1.6T</x:v>
      </x:c>
      <x:c r="D147" s="98" t="n">
        <x:v>0.8</x:v>
      </x:c>
      <x:c r="E147" s="98" t="n">
        <x:v>5</x:v>
      </x:c>
      <x:c r="F147" s="95" t="str">
        <x:v>米</x:v>
      </x:c>
      <x:c r="G147" s="95" t="str">
        <x:v>公开目录/行业区间</x:v>
      </x:c>
      <x:c r="H147" s="95" t="str">
        <x:v>S23</x:v>
      </x:c>
      <x:c r="I147" s="95" t="str">
        <x:v>中</x:v>
      </x:c>
      <x:c r="J147" s="95" t="str">
        <x:v>由公开BOM样本、历史价格锚点及模块ASP约束形成的情景区间</x:v>
      </x:c>
    </x:row>
    <x:row r="148">
      <x:c r="A148" s="95" t="str">
        <x:v>C050</x:v>
      </x:c>
      <x:c r="B148" s="95" t="str">
        <x:v>多模光纤</x:v>
      </x:c>
      <x:c r="C148" s="95" t="str">
        <x:v>3.2T</x:v>
      </x:c>
      <x:c r="D148" s="98" t="n">
        <x:v>1</x:v>
      </x:c>
      <x:c r="E148" s="98" t="n">
        <x:v>8</x:v>
      </x:c>
      <x:c r="F148" s="95" t="str">
        <x:v>米</x:v>
      </x:c>
      <x:c r="G148" s="95" t="str">
        <x:v>公开目录/行业区间</x:v>
      </x:c>
      <x:c r="H148" s="95" t="str">
        <x:v>S23</x:v>
      </x:c>
      <x:c r="I148" s="95" t="str">
        <x:v>中</x:v>
      </x:c>
      <x:c r="J148" s="95" t="str">
        <x:v>由公开BOM样本、历史价格锚点及模块ASP约束形成的情景区间</x:v>
      </x:c>
    </x:row>
    <x:row r="149">
      <x:c r="A149" s="95" t="str">
        <x:v>C051</x:v>
      </x:c>
      <x:c r="B149" s="95" t="str">
        <x:v>保偏光纤</x:v>
      </x:c>
      <x:c r="C149" s="95" t="str">
        <x:v>400G</x:v>
      </x:c>
      <x:c r="D149" s="98" t="n">
        <x:v>3</x:v>
      </x:c>
      <x:c r="E149" s="98" t="n">
        <x:v>15</x:v>
      </x:c>
      <x:c r="F149" s="95" t="str">
        <x:v>米</x:v>
      </x:c>
      <x:c r="G149" s="95" t="str">
        <x:v>行业建模区间</x:v>
      </x:c>
      <x:c r="H149" s="95" t="str">
        <x:v>S16;S38;S46</x:v>
      </x:c>
      <x:c r="I149" s="95" t="str">
        <x:v>低</x:v>
      </x:c>
      <x:c r="J149" s="95" t="str">
        <x:v>由公开BOM样本、历史价格锚点及模块ASP约束形成的情景区间</x:v>
      </x:c>
    </x:row>
    <x:row r="150">
      <x:c r="A150" s="95" t="str">
        <x:v>C051</x:v>
      </x:c>
      <x:c r="B150" s="95" t="str">
        <x:v>保偏光纤</x:v>
      </x:c>
      <x:c r="C150" s="95" t="str">
        <x:v>800G</x:v>
      </x:c>
      <x:c r="D150" s="98" t="n">
        <x:v>5</x:v>
      </x:c>
      <x:c r="E150" s="98" t="n">
        <x:v>20</x:v>
      </x:c>
      <x:c r="F150" s="95" t="str">
        <x:v>米</x:v>
      </x:c>
      <x:c r="G150" s="95" t="str">
        <x:v>行业建模区间</x:v>
      </x:c>
      <x:c r="H150" s="95" t="str">
        <x:v>S16;S38;S46</x:v>
      </x:c>
      <x:c r="I150" s="95" t="str">
        <x:v>低</x:v>
      </x:c>
      <x:c r="J150" s="95" t="str">
        <x:v>由公开BOM样本、历史价格锚点及模块ASP约束形成的情景区间</x:v>
      </x:c>
    </x:row>
    <x:row r="151">
      <x:c r="A151" s="95" t="str">
        <x:v>C051</x:v>
      </x:c>
      <x:c r="B151" s="95" t="str">
        <x:v>保偏光纤</x:v>
      </x:c>
      <x:c r="C151" s="95" t="str">
        <x:v>1.6T</x:v>
      </x:c>
      <x:c r="D151" s="98" t="n">
        <x:v>8</x:v>
      </x:c>
      <x:c r="E151" s="98" t="n">
        <x:v>30</x:v>
      </x:c>
      <x:c r="F151" s="95" t="str">
        <x:v>米</x:v>
      </x:c>
      <x:c r="G151" s="95" t="str">
        <x:v>行业建模区间</x:v>
      </x:c>
      <x:c r="H151" s="95" t="str">
        <x:v>S16;S38;S46</x:v>
      </x:c>
      <x:c r="I151" s="95" t="str">
        <x:v>低</x:v>
      </x:c>
      <x:c r="J151" s="95" t="str">
        <x:v>由公开BOM样本、历史价格锚点及模块ASP约束形成的情景区间</x:v>
      </x:c>
    </x:row>
    <x:row r="152">
      <x:c r="A152" s="95" t="str">
        <x:v>C051</x:v>
      </x:c>
      <x:c r="B152" s="95" t="str">
        <x:v>保偏光纤</x:v>
      </x:c>
      <x:c r="C152" s="95" t="str">
        <x:v>3.2T</x:v>
      </x:c>
      <x:c r="D152" s="98" t="n">
        <x:v>10</x:v>
      </x:c>
      <x:c r="E152" s="98" t="n">
        <x:v>50</x:v>
      </x:c>
      <x:c r="F152" s="95" t="str">
        <x:v>米</x:v>
      </x:c>
      <x:c r="G152" s="95" t="str">
        <x:v>行业建模区间</x:v>
      </x:c>
      <x:c r="H152" s="95" t="str">
        <x:v>S16;S38</x:v>
      </x:c>
      <x:c r="I152" s="95" t="str">
        <x:v>低</x:v>
      </x:c>
      <x:c r="J152" s="95" t="str">
        <x:v>由公开BOM样本、历史价格锚点及模块ASP约束形成的情景区间</x:v>
      </x:c>
    </x:row>
    <x:row r="153">
      <x:c r="A153" s="95" t="str">
        <x:v>C052</x:v>
      </x:c>
      <x:c r="B153" s="95" t="str">
        <x:v>TEC</x:v>
      </x:c>
      <x:c r="C153" s="95" t="str">
        <x:v>400G</x:v>
      </x:c>
      <x:c r="D153" s="98" t="n">
        <x:v>5</x:v>
      </x:c>
      <x:c r="E153" s="98" t="n">
        <x:v>25</x:v>
      </x:c>
      <x:c r="F153" s="95" t="str">
        <x:v>件</x:v>
      </x:c>
      <x:c r="G153" s="95" t="str">
        <x:v>行业建模区间</x:v>
      </x:c>
      <x:c r="H153" s="95" t="str">
        <x:v>S16;S38;S46</x:v>
      </x:c>
      <x:c r="I153" s="95" t="str">
        <x:v>低</x:v>
      </x:c>
      <x:c r="J153" s="95" t="str">
        <x:v>由公开BOM样本、历史价格锚点及模块ASP约束形成的情景区间</x:v>
      </x:c>
    </x:row>
    <x:row r="154">
      <x:c r="A154" s="95" t="str">
        <x:v>C052</x:v>
      </x:c>
      <x:c r="B154" s="95" t="str">
        <x:v>TEC</x:v>
      </x:c>
      <x:c r="C154" s="95" t="str">
        <x:v>800G</x:v>
      </x:c>
      <x:c r="D154" s="98" t="n">
        <x:v>8</x:v>
      </x:c>
      <x:c r="E154" s="98" t="n">
        <x:v>30</x:v>
      </x:c>
      <x:c r="F154" s="95" t="str">
        <x:v>件</x:v>
      </x:c>
      <x:c r="G154" s="95" t="str">
        <x:v>行业建模区间</x:v>
      </x:c>
      <x:c r="H154" s="95" t="str">
        <x:v>S16;S38;S46</x:v>
      </x:c>
      <x:c r="I154" s="95" t="str">
        <x:v>低</x:v>
      </x:c>
      <x:c r="J154" s="95" t="str">
        <x:v>由公开BOM样本、历史价格锚点及模块ASP约束形成的情景区间</x:v>
      </x:c>
    </x:row>
    <x:row r="155">
      <x:c r="A155" s="95" t="str">
        <x:v>C052</x:v>
      </x:c>
      <x:c r="B155" s="95" t="str">
        <x:v>TEC</x:v>
      </x:c>
      <x:c r="C155" s="95" t="str">
        <x:v>1.6T</x:v>
      </x:c>
      <x:c r="D155" s="98" t="n">
        <x:v>10</x:v>
      </x:c>
      <x:c r="E155" s="98" t="n">
        <x:v>40</x:v>
      </x:c>
      <x:c r="F155" s="95" t="str">
        <x:v>件</x:v>
      </x:c>
      <x:c r="G155" s="95" t="str">
        <x:v>行业建模区间</x:v>
      </x:c>
      <x:c r="H155" s="95" t="str">
        <x:v>S16;S38;S46</x:v>
      </x:c>
      <x:c r="I155" s="95" t="str">
        <x:v>低</x:v>
      </x:c>
      <x:c r="J155" s="95" t="str">
        <x:v>由公开BOM样本、历史价格锚点及模块ASP约束形成的情景区间</x:v>
      </x:c>
    </x:row>
    <x:row r="156">
      <x:c r="A156" s="95" t="str">
        <x:v>C052</x:v>
      </x:c>
      <x:c r="B156" s="95" t="str">
        <x:v>TEC</x:v>
      </x:c>
      <x:c r="C156" s="95" t="str">
        <x:v>3.2T</x:v>
      </x:c>
      <x:c r="D156" s="98" t="n">
        <x:v>20</x:v>
      </x:c>
      <x:c r="E156" s="98" t="n">
        <x:v>80</x:v>
      </x:c>
      <x:c r="F156" s="95" t="str">
        <x:v>件</x:v>
      </x:c>
      <x:c r="G156" s="95" t="str">
        <x:v>行业建模区间</x:v>
      </x:c>
      <x:c r="H156" s="95" t="str">
        <x:v>S16;S38</x:v>
      </x:c>
      <x:c r="I156" s="95" t="str">
        <x:v>低</x:v>
      </x:c>
      <x:c r="J156" s="95" t="str">
        <x:v>由公开BOM样本、历史价格锚点及模块ASP约束形成的情景区间</x:v>
      </x:c>
    </x:row>
    <x:row r="157">
      <x:c r="A157" s="95" t="str">
        <x:v>C053</x:v>
      </x:c>
      <x:c r="B157" s="95" t="str">
        <x:v>导热垫/热界面材料</x:v>
      </x:c>
      <x:c r="C157" s="95" t="str">
        <x:v>400G</x:v>
      </x:c>
      <x:c r="D157" s="98" t="n">
        <x:v>0.2</x:v>
      </x:c>
      <x:c r="E157" s="98" t="n">
        <x:v>2</x:v>
      </x:c>
      <x:c r="F157" s="95" t="str">
        <x:v>片</x:v>
      </x:c>
      <x:c r="G157" s="95" t="str">
        <x:v>行业建模区间</x:v>
      </x:c>
      <x:c r="H157" s="95" t="str">
        <x:v>S16;S38;S46</x:v>
      </x:c>
      <x:c r="I157" s="95" t="str">
        <x:v>低</x:v>
      </x:c>
      <x:c r="J157" s="95" t="str">
        <x:v>由公开BOM样本、历史价格锚点及模块ASP约束形成的情景区间</x:v>
      </x:c>
    </x:row>
    <x:row r="158">
      <x:c r="A158" s="95" t="str">
        <x:v>C053</x:v>
      </x:c>
      <x:c r="B158" s="95" t="str">
        <x:v>导热垫/热界面材料</x:v>
      </x:c>
      <x:c r="C158" s="95" t="str">
        <x:v>800G</x:v>
      </x:c>
      <x:c r="D158" s="98" t="n">
        <x:v>0.5</x:v>
      </x:c>
      <x:c r="E158" s="98" t="n">
        <x:v>3</x:v>
      </x:c>
      <x:c r="F158" s="95" t="str">
        <x:v>片</x:v>
      </x:c>
      <x:c r="G158" s="95" t="str">
        <x:v>行业建模区间</x:v>
      </x:c>
      <x:c r="H158" s="95" t="str">
        <x:v>S16;S38;S46</x:v>
      </x:c>
      <x:c r="I158" s="95" t="str">
        <x:v>低</x:v>
      </x:c>
      <x:c r="J158" s="95" t="str">
        <x:v>由公开BOM样本、历史价格锚点及模块ASP约束形成的情景区间</x:v>
      </x:c>
    </x:row>
    <x:row r="159">
      <x:c r="A159" s="95" t="str">
        <x:v>C053</x:v>
      </x:c>
      <x:c r="B159" s="95" t="str">
        <x:v>导热垫/热界面材料</x:v>
      </x:c>
      <x:c r="C159" s="95" t="str">
        <x:v>1.6T</x:v>
      </x:c>
      <x:c r="D159" s="98" t="n">
        <x:v>0.5</x:v>
      </x:c>
      <x:c r="E159" s="98" t="n">
        <x:v>5</x:v>
      </x:c>
      <x:c r="F159" s="95" t="str">
        <x:v>片</x:v>
      </x:c>
      <x:c r="G159" s="95" t="str">
        <x:v>行业建模区间</x:v>
      </x:c>
      <x:c r="H159" s="95" t="str">
        <x:v>S16;S38;S46</x:v>
      </x:c>
      <x:c r="I159" s="95" t="str">
        <x:v>低</x:v>
      </x:c>
      <x:c r="J159" s="95" t="str">
        <x:v>由公开BOM样本、历史价格锚点及模块ASP约束形成的情景区间</x:v>
      </x:c>
    </x:row>
    <x:row r="160">
      <x:c r="A160" s="95" t="str">
        <x:v>C053</x:v>
      </x:c>
      <x:c r="B160" s="95" t="str">
        <x:v>导热垫/热界面材料</x:v>
      </x:c>
      <x:c r="C160" s="95" t="str">
        <x:v>3.2T</x:v>
      </x:c>
      <x:c r="D160" s="98" t="n">
        <x:v>1</x:v>
      </x:c>
      <x:c r="E160" s="98" t="n">
        <x:v>10</x:v>
      </x:c>
      <x:c r="F160" s="95" t="str">
        <x:v>片</x:v>
      </x:c>
      <x:c r="G160" s="95" t="str">
        <x:v>行业建模区间</x:v>
      </x:c>
      <x:c r="H160" s="95" t="str">
        <x:v>S16;S38</x:v>
      </x:c>
      <x:c r="I160" s="95" t="str">
        <x:v>低</x:v>
      </x:c>
      <x:c r="J160" s="95" t="str">
        <x:v>由公开BOM样本、历史价格锚点及模块ASP约束形成的情景区间</x:v>
      </x:c>
    </x:row>
    <x:row r="161">
      <x:c r="A161" s="95" t="str">
        <x:v>C054</x:v>
      </x:c>
      <x:c r="B161" s="95" t="str">
        <x:v>光学胶/底部填充</x:v>
      </x:c>
      <x:c r="C161" s="95" t="str">
        <x:v>400G</x:v>
      </x:c>
      <x:c r="D161" s="98" t="n">
        <x:v>0.1</x:v>
      </x:c>
      <x:c r="E161" s="98" t="n">
        <x:v>1</x:v>
      </x:c>
      <x:c r="F161" s="95" t="str">
        <x:v>用量</x:v>
      </x:c>
      <x:c r="G161" s="95" t="str">
        <x:v>行业建模区间</x:v>
      </x:c>
      <x:c r="H161" s="95" t="str">
        <x:v>S16;S38;S46</x:v>
      </x:c>
      <x:c r="I161" s="95" t="str">
        <x:v>低</x:v>
      </x:c>
      <x:c r="J161" s="95" t="str">
        <x:v>由公开BOM样本、历史价格锚点及模块ASP约束形成的情景区间</x:v>
      </x:c>
    </x:row>
    <x:row r="162">
      <x:c r="A162" s="95" t="str">
        <x:v>C054</x:v>
      </x:c>
      <x:c r="B162" s="95" t="str">
        <x:v>光学胶/底部填充</x:v>
      </x:c>
      <x:c r="C162" s="95" t="str">
        <x:v>800G</x:v>
      </x:c>
      <x:c r="D162" s="98" t="n">
        <x:v>0.2</x:v>
      </x:c>
      <x:c r="E162" s="98" t="n">
        <x:v>2</x:v>
      </x:c>
      <x:c r="F162" s="95" t="str">
        <x:v>用量</x:v>
      </x:c>
      <x:c r="G162" s="95" t="str">
        <x:v>行业建模区间</x:v>
      </x:c>
      <x:c r="H162" s="95" t="str">
        <x:v>S16;S38;S46</x:v>
      </x:c>
      <x:c r="I162" s="95" t="str">
        <x:v>低</x:v>
      </x:c>
      <x:c r="J162" s="95" t="str">
        <x:v>由公开BOM样本、历史价格锚点及模块ASP约束形成的情景区间</x:v>
      </x:c>
    </x:row>
    <x:row r="163">
      <x:c r="A163" s="95" t="str">
        <x:v>C054</x:v>
      </x:c>
      <x:c r="B163" s="95" t="str">
        <x:v>光学胶/底部填充</x:v>
      </x:c>
      <x:c r="C163" s="95" t="str">
        <x:v>1.6T</x:v>
      </x:c>
      <x:c r="D163" s="98" t="n">
        <x:v>0.3</x:v>
      </x:c>
      <x:c r="E163" s="98" t="n">
        <x:v>3</x:v>
      </x:c>
      <x:c r="F163" s="95" t="str">
        <x:v>用量</x:v>
      </x:c>
      <x:c r="G163" s="95" t="str">
        <x:v>行业建模区间</x:v>
      </x:c>
      <x:c r="H163" s="95" t="str">
        <x:v>S16;S38;S46</x:v>
      </x:c>
      <x:c r="I163" s="95" t="str">
        <x:v>低</x:v>
      </x:c>
      <x:c r="J163" s="95" t="str">
        <x:v>由公开BOM样本、历史价格锚点及模块ASP约束形成的情景区间</x:v>
      </x:c>
    </x:row>
    <x:row r="164">
      <x:c r="A164" s="95" t="str">
        <x:v>C054</x:v>
      </x:c>
      <x:c r="B164" s="95" t="str">
        <x:v>光学胶/底部填充</x:v>
      </x:c>
      <x:c r="C164" s="95" t="str">
        <x:v>3.2T</x:v>
      </x:c>
      <x:c r="D164" s="98" t="n">
        <x:v>0.5</x:v>
      </x:c>
      <x:c r="E164" s="98" t="n">
        <x:v>5</x:v>
      </x:c>
      <x:c r="F164" s="95" t="str">
        <x:v>用量</x:v>
      </x:c>
      <x:c r="G164" s="95" t="str">
        <x:v>行业建模区间</x:v>
      </x:c>
      <x:c r="H164" s="95" t="str">
        <x:v>S16;S38</x:v>
      </x:c>
      <x:c r="I164" s="95" t="str">
        <x:v>低</x:v>
      </x:c>
      <x:c r="J164" s="95" t="str">
        <x:v>由公开BOM样本、历史价格锚点及模块ASP约束形成的情景区间</x:v>
      </x:c>
    </x:row>
    <x:row r="165">
      <x:c r="A165" s="95" t="str">
        <x:v>C055</x:v>
      </x:c>
      <x:c r="B165" s="95" t="str">
        <x:v>光子线键合</x:v>
      </x:c>
      <x:c r="C165" s="95" t="str">
        <x:v>400G</x:v>
      </x:c>
      <x:c r="D165" s="98" t="n">
        <x:v>5</x:v>
      </x:c>
      <x:c r="E165" s="98" t="n">
        <x:v>25</x:v>
      </x:c>
      <x:c r="F165" s="95" t="str">
        <x:v>互连</x:v>
      </x:c>
      <x:c r="G165" s="95" t="str">
        <x:v>行业建模区间</x:v>
      </x:c>
      <x:c r="H165" s="95" t="str">
        <x:v>S16;S38;S46</x:v>
      </x:c>
      <x:c r="I165" s="95" t="str">
        <x:v>低</x:v>
      </x:c>
      <x:c r="J165" s="95" t="str">
        <x:v>由公开BOM样本、历史价格锚点及模块ASP约束形成的情景区间</x:v>
      </x:c>
    </x:row>
    <x:row r="166">
      <x:c r="A166" s="95" t="str">
        <x:v>C055</x:v>
      </x:c>
      <x:c r="B166" s="95" t="str">
        <x:v>光子线键合</x:v>
      </x:c>
      <x:c r="C166" s="95" t="str">
        <x:v>800G</x:v>
      </x:c>
      <x:c r="D166" s="98" t="n">
        <x:v>10</x:v>
      </x:c>
      <x:c r="E166" s="98" t="n">
        <x:v>40</x:v>
      </x:c>
      <x:c r="F166" s="95" t="str">
        <x:v>互连</x:v>
      </x:c>
      <x:c r="G166" s="95" t="str">
        <x:v>行业建模区间</x:v>
      </x:c>
      <x:c r="H166" s="95" t="str">
        <x:v>S16;S38;S46</x:v>
      </x:c>
      <x:c r="I166" s="95" t="str">
        <x:v>低</x:v>
      </x:c>
      <x:c r="J166" s="95" t="str">
        <x:v>由公开BOM样本、历史价格锚点及模块ASP约束形成的情景区间</x:v>
      </x:c>
    </x:row>
    <x:row r="167">
      <x:c r="A167" s="95" t="str">
        <x:v>C055</x:v>
      </x:c>
      <x:c r="B167" s="95" t="str">
        <x:v>光子线键合</x:v>
      </x:c>
      <x:c r="C167" s="95" t="str">
        <x:v>1.6T</x:v>
      </x:c>
      <x:c r="D167" s="98" t="n">
        <x:v>15</x:v>
      </x:c>
      <x:c r="E167" s="98" t="n">
        <x:v>60</x:v>
      </x:c>
      <x:c r="F167" s="95" t="str">
        <x:v>互连</x:v>
      </x:c>
      <x:c r="G167" s="95" t="str">
        <x:v>行业建模区间</x:v>
      </x:c>
      <x:c r="H167" s="95" t="str">
        <x:v>S16;S38;S46</x:v>
      </x:c>
      <x:c r="I167" s="95" t="str">
        <x:v>低</x:v>
      </x:c>
      <x:c r="J167" s="95" t="str">
        <x:v>由公开BOM样本、历史价格锚点及模块ASP约束形成的情景区间</x:v>
      </x:c>
    </x:row>
    <x:row r="168">
      <x:c r="A168" s="95" t="str">
        <x:v>C055</x:v>
      </x:c>
      <x:c r="B168" s="95" t="str">
        <x:v>光子线键合</x:v>
      </x:c>
      <x:c r="C168" s="95" t="str">
        <x:v>3.2T</x:v>
      </x:c>
      <x:c r="D168" s="98" t="n">
        <x:v>30</x:v>
      </x:c>
      <x:c r="E168" s="98" t="n">
        <x:v>100</x:v>
      </x:c>
      <x:c r="F168" s="95" t="str">
        <x:v>互连</x:v>
      </x:c>
      <x:c r="G168" s="95" t="str">
        <x:v>行业建模区间</x:v>
      </x:c>
      <x:c r="H168" s="95" t="str">
        <x:v>S16;S38</x:v>
      </x:c>
      <x:c r="I168" s="95" t="str">
        <x:v>低</x:v>
      </x:c>
      <x:c r="J168" s="95" t="str">
        <x:v>由公开BOM样本、历史价格锚点及模块ASP约束形成的情景区间</x:v>
      </x:c>
    </x:row>
    <x:row r="169">
      <x:c r="A169" s="95" t="str">
        <x:v>C057</x:v>
      </x:c>
      <x:c r="B169" s="95" t="str">
        <x:v>笼子与面板连接器</x:v>
      </x:c>
      <x:c r="C169" s="95" t="str">
        <x:v>400G</x:v>
      </x:c>
      <x:c r="D169" s="98" t="n">
        <x:v>15</x:v>
      </x:c>
      <x:c r="E169" s="98" t="n">
        <x:v>50</x:v>
      </x:c>
      <x:c r="F169" s="95" t="str">
        <x:v>端口</x:v>
      </x:c>
      <x:c r="G169" s="95" t="str">
        <x:v>行业建模区间</x:v>
      </x:c>
      <x:c r="H169" s="95" t="str">
        <x:v>S16;S38;S46</x:v>
      </x:c>
      <x:c r="I169" s="95" t="str">
        <x:v>低</x:v>
      </x:c>
      <x:c r="J169" s="95" t="str">
        <x:v>由公开BOM样本、历史价格锚点及模块ASP约束形成的情景区间</x:v>
      </x:c>
    </x:row>
    <x:row r="170">
      <x:c r="A170" s="95" t="str">
        <x:v>C057</x:v>
      </x:c>
      <x:c r="B170" s="95" t="str">
        <x:v>笼子与面板连接器</x:v>
      </x:c>
      <x:c r="C170" s="95" t="str">
        <x:v>800G</x:v>
      </x:c>
      <x:c r="D170" s="98" t="n">
        <x:v>20</x:v>
      </x:c>
      <x:c r="E170" s="98" t="n">
        <x:v>60</x:v>
      </x:c>
      <x:c r="F170" s="95" t="str">
        <x:v>端口</x:v>
      </x:c>
      <x:c r="G170" s="95" t="str">
        <x:v>行业建模区间</x:v>
      </x:c>
      <x:c r="H170" s="95" t="str">
        <x:v>S16;S38;S46</x:v>
      </x:c>
      <x:c r="I170" s="95" t="str">
        <x:v>低</x:v>
      </x:c>
      <x:c r="J170" s="95" t="str">
        <x:v>由公开BOM样本、历史价格锚点及模块ASP约束形成的情景区间</x:v>
      </x:c>
    </x:row>
    <x:row r="171">
      <x:c r="A171" s="95" t="str">
        <x:v>C057</x:v>
      </x:c>
      <x:c r="B171" s="95" t="str">
        <x:v>笼子与面板连接器</x:v>
      </x:c>
      <x:c r="C171" s="95" t="str">
        <x:v>1.6T</x:v>
      </x:c>
      <x:c r="D171" s="98" t="n">
        <x:v>30</x:v>
      </x:c>
      <x:c r="E171" s="98" t="n">
        <x:v>80</x:v>
      </x:c>
      <x:c r="F171" s="95" t="str">
        <x:v>端口</x:v>
      </x:c>
      <x:c r="G171" s="95" t="str">
        <x:v>行业建模区间</x:v>
      </x:c>
      <x:c r="H171" s="95" t="str">
        <x:v>S16;S38;S46</x:v>
      </x:c>
      <x:c r="I171" s="95" t="str">
        <x:v>低</x:v>
      </x:c>
      <x:c r="J171" s="95" t="str">
        <x:v>由公开BOM样本、历史价格锚点及模块ASP约束形成的情景区间</x:v>
      </x:c>
    </x:row>
    <x:row r="172">
      <x:c r="A172" s="95" t="str">
        <x:v>C057</x:v>
      </x:c>
      <x:c r="B172" s="95" t="str">
        <x:v>笼子与面板连接器</x:v>
      </x:c>
      <x:c r="C172" s="95" t="str">
        <x:v>3.2T</x:v>
      </x:c>
      <x:c r="D172" s="98" t="n">
        <x:v>50</x:v>
      </x:c>
      <x:c r="E172" s="98" t="n">
        <x:v>150</x:v>
      </x:c>
      <x:c r="F172" s="95" t="str">
        <x:v>端口</x:v>
      </x:c>
      <x:c r="G172" s="95" t="str">
        <x:v>行业建模区间</x:v>
      </x:c>
      <x:c r="H172" s="95" t="str">
        <x:v>S16;S38</x:v>
      </x:c>
      <x:c r="I172" s="95" t="str">
        <x:v>低</x:v>
      </x:c>
      <x:c r="J172" s="95" t="str">
        <x:v>由公开BOM样本、历史价格锚点及模块ASP约束形成的情景区间</x:v>
      </x:c>
    </x:row>
    <x:row r="173">
      <x:c r="A173" s="95" t="str">
        <x:v>C058</x:v>
      </x:c>
      <x:c r="B173" s="95" t="str">
        <x:v>参考时钟/振荡器</x:v>
      </x:c>
      <x:c r="C173" s="95" t="str">
        <x:v>400G</x:v>
      </x:c>
      <x:c r="D173" s="98" t="n">
        <x:v>2</x:v>
      </x:c>
      <x:c r="E173" s="98" t="n">
        <x:v>10</x:v>
      </x:c>
      <x:c r="F173" s="95" t="str">
        <x:v>颗/接口</x:v>
      </x:c>
      <x:c r="G173" s="95" t="str">
        <x:v>行业建模区间</x:v>
      </x:c>
      <x:c r="H173" s="95" t="str">
        <x:v>S16;S38;S46</x:v>
      </x:c>
      <x:c r="I173" s="95" t="str">
        <x:v>低</x:v>
      </x:c>
      <x:c r="J173" s="95" t="str">
        <x:v>由公开BOM样本、历史价格锚点及模块ASP约束形成的情景区间</x:v>
      </x:c>
    </x:row>
    <x:row r="174">
      <x:c r="A174" s="95" t="str">
        <x:v>C058</x:v>
      </x:c>
      <x:c r="B174" s="95" t="str">
        <x:v>参考时钟/振荡器</x:v>
      </x:c>
      <x:c r="C174" s="95" t="str">
        <x:v>800G</x:v>
      </x:c>
      <x:c r="D174" s="98" t="n">
        <x:v>3</x:v>
      </x:c>
      <x:c r="E174" s="98" t="n">
        <x:v>12</x:v>
      </x:c>
      <x:c r="F174" s="95" t="str">
        <x:v>颗/接口</x:v>
      </x:c>
      <x:c r="G174" s="95" t="str">
        <x:v>行业建模区间</x:v>
      </x:c>
      <x:c r="H174" s="95" t="str">
        <x:v>S16;S38;S46</x:v>
      </x:c>
      <x:c r="I174" s="95" t="str">
        <x:v>低</x:v>
      </x:c>
      <x:c r="J174" s="95" t="str">
        <x:v>由公开BOM样本、历史价格锚点及模块ASP约束形成的情景区间</x:v>
      </x:c>
    </x:row>
    <x:row r="175">
      <x:c r="A175" s="95" t="str">
        <x:v>C058</x:v>
      </x:c>
      <x:c r="B175" s="95" t="str">
        <x:v>参考时钟/振荡器</x:v>
      </x:c>
      <x:c r="C175" s="95" t="str">
        <x:v>1.6T</x:v>
      </x:c>
      <x:c r="D175" s="98" t="n">
        <x:v>4</x:v>
      </x:c>
      <x:c r="E175" s="98" t="n">
        <x:v>15</x:v>
      </x:c>
      <x:c r="F175" s="95" t="str">
        <x:v>颗/接口</x:v>
      </x:c>
      <x:c r="G175" s="95" t="str">
        <x:v>行业建模区间</x:v>
      </x:c>
      <x:c r="H175" s="95" t="str">
        <x:v>S16;S38;S46</x:v>
      </x:c>
      <x:c r="I175" s="95" t="str">
        <x:v>低</x:v>
      </x:c>
      <x:c r="J175" s="95" t="str">
        <x:v>由公开BOM样本、历史价格锚点及模块ASP约束形成的情景区间</x:v>
      </x:c>
    </x:row>
    <x:row r="176">
      <x:c r="A176" s="95" t="str">
        <x:v>C058</x:v>
      </x:c>
      <x:c r="B176" s="95" t="str">
        <x:v>参考时钟/振荡器</x:v>
      </x:c>
      <x:c r="C176" s="95" t="str">
        <x:v>3.2T</x:v>
      </x:c>
      <x:c r="D176" s="98" t="n">
        <x:v>5</x:v>
      </x:c>
      <x:c r="E176" s="98" t="n">
        <x:v>25</x:v>
      </x:c>
      <x:c r="F176" s="95" t="str">
        <x:v>颗/接口</x:v>
      </x:c>
      <x:c r="G176" s="95" t="str">
        <x:v>行业建模区间</x:v>
      </x:c>
      <x:c r="H176" s="95" t="str">
        <x:v>S16;S38</x:v>
      </x:c>
      <x:c r="I176" s="95" t="str">
        <x:v>低</x:v>
      </x:c>
      <x:c r="J176" s="95" t="str">
        <x:v>由公开BOM样本、历史价格锚点及模块ASP约束形成的情景区间</x:v>
      </x:c>
    </x:row>
    <x:row r="177">
      <x:c r="A177" s="95" t="str">
        <x:v>C059</x:v>
      </x:c>
      <x:c r="B177" s="95" t="str">
        <x:v>温度传感器</x:v>
      </x:c>
      <x:c r="C177" s="95" t="str">
        <x:v>400G</x:v>
      </x:c>
      <x:c r="D177" s="98" t="n">
        <x:v>0.5</x:v>
      </x:c>
      <x:c r="E177" s="98" t="n">
        <x:v>3</x:v>
      </x:c>
      <x:c r="F177" s="95" t="str">
        <x:v>颗/功能</x:v>
      </x:c>
      <x:c r="G177" s="95" t="str">
        <x:v>行业建模区间</x:v>
      </x:c>
      <x:c r="H177" s="95" t="str">
        <x:v>S16;S38;S46</x:v>
      </x:c>
      <x:c r="I177" s="95" t="str">
        <x:v>低</x:v>
      </x:c>
      <x:c r="J177" s="95" t="str">
        <x:v>由公开BOM样本、历史价格锚点及模块ASP约束形成的情景区间</x:v>
      </x:c>
    </x:row>
    <x:row r="178">
      <x:c r="A178" s="95" t="str">
        <x:v>C059</x:v>
      </x:c>
      <x:c r="B178" s="95" t="str">
        <x:v>温度传感器</x:v>
      </x:c>
      <x:c r="C178" s="95" t="str">
        <x:v>800G</x:v>
      </x:c>
      <x:c r="D178" s="98" t="n">
        <x:v>0.5</x:v>
      </x:c>
      <x:c r="E178" s="98" t="n">
        <x:v>4</x:v>
      </x:c>
      <x:c r="F178" s="95" t="str">
        <x:v>颗/功能</x:v>
      </x:c>
      <x:c r="G178" s="95" t="str">
        <x:v>行业建模区间</x:v>
      </x:c>
      <x:c r="H178" s="95" t="str">
        <x:v>S16;S38;S46</x:v>
      </x:c>
      <x:c r="I178" s="95" t="str">
        <x:v>低</x:v>
      </x:c>
      <x:c r="J178" s="95" t="str">
        <x:v>由公开BOM样本、历史价格锚点及模块ASP约束形成的情景区间</x:v>
      </x:c>
    </x:row>
    <x:row r="179">
      <x:c r="A179" s="95" t="str">
        <x:v>C059</x:v>
      </x:c>
      <x:c r="B179" s="95" t="str">
        <x:v>温度传感器</x:v>
      </x:c>
      <x:c r="C179" s="95" t="str">
        <x:v>1.6T</x:v>
      </x:c>
      <x:c r="D179" s="98" t="n">
        <x:v>1</x:v>
      </x:c>
      <x:c r="E179" s="98" t="n">
        <x:v>5</x:v>
      </x:c>
      <x:c r="F179" s="95" t="str">
        <x:v>颗/功能</x:v>
      </x:c>
      <x:c r="G179" s="95" t="str">
        <x:v>行业建模区间</x:v>
      </x:c>
      <x:c r="H179" s="95" t="str">
        <x:v>S16;S38;S46</x:v>
      </x:c>
      <x:c r="I179" s="95" t="str">
        <x:v>低</x:v>
      </x:c>
      <x:c r="J179" s="95" t="str">
        <x:v>由公开BOM样本、历史价格锚点及模块ASP约束形成的情景区间</x:v>
      </x:c>
    </x:row>
    <x:row r="180">
      <x:c r="A180" s="95" t="str">
        <x:v>C059</x:v>
      </x:c>
      <x:c r="B180" s="95" t="str">
        <x:v>温度传感器</x:v>
      </x:c>
      <x:c r="C180" s="95" t="str">
        <x:v>3.2T</x:v>
      </x:c>
      <x:c r="D180" s="98" t="n">
        <x:v>1</x:v>
      </x:c>
      <x:c r="E180" s="98" t="n">
        <x:v>8</x:v>
      </x:c>
      <x:c r="F180" s="95" t="str">
        <x:v>颗/功能</x:v>
      </x:c>
      <x:c r="G180" s="95" t="str">
        <x:v>行业建模区间</x:v>
      </x:c>
      <x:c r="H180" s="95" t="str">
        <x:v>S16;S38</x:v>
      </x:c>
      <x:c r="I180" s="95" t="str">
        <x:v>低</x:v>
      </x:c>
      <x:c r="J180" s="95" t="str">
        <x:v>由公开BOM样本、历史价格锚点及模块ASP约束形成的情景区间</x:v>
      </x:c>
    </x:row>
    <x:row r="181">
      <x:c r="A181" s="95" t="str">
        <x:v>C060</x:v>
      </x:c>
      <x:c r="B181" s="95" t="str">
        <x:v>电阻/电容/电感网络</x:v>
      </x:c>
      <x:c r="C181" s="95" t="str">
        <x:v>400G</x:v>
      </x:c>
      <x:c r="D181" s="98" t="n">
        <x:v>2</x:v>
      </x:c>
      <x:c r="E181" s="98" t="n">
        <x:v>8</x:v>
      </x:c>
      <x:c r="F181" s="95" t="str">
        <x:v>组</x:v>
      </x:c>
      <x:c r="G181" s="95" t="str">
        <x:v>行业建模区间</x:v>
      </x:c>
      <x:c r="H181" s="95" t="str">
        <x:v>S16;S38;S46</x:v>
      </x:c>
      <x:c r="I181" s="95" t="str">
        <x:v>低</x:v>
      </x:c>
      <x:c r="J181" s="95" t="str">
        <x:v>由公开BOM样本、历史价格锚点及模块ASP约束形成的情景区间</x:v>
      </x:c>
    </x:row>
    <x:row r="182">
      <x:c r="A182" s="95" t="str">
        <x:v>C060</x:v>
      </x:c>
      <x:c r="B182" s="95" t="str">
        <x:v>电阻/电容/电感网络</x:v>
      </x:c>
      <x:c r="C182" s="95" t="str">
        <x:v>800G</x:v>
      </x:c>
      <x:c r="D182" s="98" t="n">
        <x:v>3</x:v>
      </x:c>
      <x:c r="E182" s="98" t="n">
        <x:v>12</x:v>
      </x:c>
      <x:c r="F182" s="95" t="str">
        <x:v>组</x:v>
      </x:c>
      <x:c r="G182" s="95" t="str">
        <x:v>行业建模区间</x:v>
      </x:c>
      <x:c r="H182" s="95" t="str">
        <x:v>S16;S38;S46</x:v>
      </x:c>
      <x:c r="I182" s="95" t="str">
        <x:v>低</x:v>
      </x:c>
      <x:c r="J182" s="95" t="str">
        <x:v>由公开BOM样本、历史价格锚点及模块ASP约束形成的情景区间</x:v>
      </x:c>
    </x:row>
    <x:row r="183">
      <x:c r="A183" s="95" t="str">
        <x:v>C060</x:v>
      </x:c>
      <x:c r="B183" s="95" t="str">
        <x:v>电阻/电容/电感网络</x:v>
      </x:c>
      <x:c r="C183" s="95" t="str">
        <x:v>1.6T</x:v>
      </x:c>
      <x:c r="D183" s="98" t="n">
        <x:v>5</x:v>
      </x:c>
      <x:c r="E183" s="98" t="n">
        <x:v>18</x:v>
      </x:c>
      <x:c r="F183" s="95" t="str">
        <x:v>组</x:v>
      </x:c>
      <x:c r="G183" s="95" t="str">
        <x:v>行业建模区间</x:v>
      </x:c>
      <x:c r="H183" s="95" t="str">
        <x:v>S16;S38;S46</x:v>
      </x:c>
      <x:c r="I183" s="95" t="str">
        <x:v>低</x:v>
      </x:c>
      <x:c r="J183" s="95" t="str">
        <x:v>由公开BOM样本、历史价格锚点及模块ASP约束形成的情景区间</x:v>
      </x:c>
    </x:row>
    <x:row r="184">
      <x:c r="A184" s="95" t="str">
        <x:v>C060</x:v>
      </x:c>
      <x:c r="B184" s="95" t="str">
        <x:v>电阻/电容/电感网络</x:v>
      </x:c>
      <x:c r="C184" s="95" t="str">
        <x:v>3.2T</x:v>
      </x:c>
      <x:c r="D184" s="98" t="n">
        <x:v>8</x:v>
      </x:c>
      <x:c r="E184" s="98" t="n">
        <x:v>30</x:v>
      </x:c>
      <x:c r="F184" s="95" t="str">
        <x:v>组</x:v>
      </x:c>
      <x:c r="G184" s="95" t="str">
        <x:v>行业建模区间</x:v>
      </x:c>
      <x:c r="H184" s="95" t="str">
        <x:v>S16;S38</x:v>
      </x:c>
      <x:c r="I184" s="95" t="str">
        <x:v>低</x:v>
      </x:c>
      <x:c r="J184" s="95" t="str">
        <x:v>由公开BOM样本、历史价格锚点及模块ASP约束形成的情景区间</x:v>
      </x:c>
    </x:row>
    <x:row r="185">
      <x:c r="A185" s="95" t="str">
        <x:v>C061</x:v>
      </x:c>
      <x:c r="B185" s="95" t="str">
        <x:v>激光器/PD Submount</x:v>
      </x:c>
      <x:c r="C185" s="95" t="str">
        <x:v>400G</x:v>
      </x:c>
      <x:c r="D185" s="98" t="n">
        <x:v>2</x:v>
      </x:c>
      <x:c r="E185" s="98" t="n">
        <x:v>10</x:v>
      </x:c>
      <x:c r="F185" s="95" t="str">
        <x:v>件/阵列</x:v>
      </x:c>
      <x:c r="G185" s="95" t="str">
        <x:v>行业建模区间</x:v>
      </x:c>
      <x:c r="H185" s="95" t="str">
        <x:v>S16;S38;S46</x:v>
      </x:c>
      <x:c r="I185" s="95" t="str">
        <x:v>低</x:v>
      </x:c>
      <x:c r="J185" s="95" t="str">
        <x:v>由公开BOM样本、历史价格锚点及模块ASP约束形成的情景区间</x:v>
      </x:c>
    </x:row>
    <x:row r="186">
      <x:c r="A186" s="95" t="str">
        <x:v>C061</x:v>
      </x:c>
      <x:c r="B186" s="95" t="str">
        <x:v>激光器/PD Submount</x:v>
      </x:c>
      <x:c r="C186" s="95" t="str">
        <x:v>800G</x:v>
      </x:c>
      <x:c r="D186" s="98" t="n">
        <x:v>3</x:v>
      </x:c>
      <x:c r="E186" s="98" t="n">
        <x:v>15</x:v>
      </x:c>
      <x:c r="F186" s="95" t="str">
        <x:v>件/阵列</x:v>
      </x:c>
      <x:c r="G186" s="95" t="str">
        <x:v>行业建模区间</x:v>
      </x:c>
      <x:c r="H186" s="95" t="str">
        <x:v>S16;S38;S46</x:v>
      </x:c>
      <x:c r="I186" s="95" t="str">
        <x:v>低</x:v>
      </x:c>
      <x:c r="J186" s="95" t="str">
        <x:v>由公开BOM样本、历史价格锚点及模块ASP约束形成的情景区间</x:v>
      </x:c>
    </x:row>
    <x:row r="187">
      <x:c r="A187" s="95" t="str">
        <x:v>C061</x:v>
      </x:c>
      <x:c r="B187" s="95" t="str">
        <x:v>激光器/PD Submount</x:v>
      </x:c>
      <x:c r="C187" s="95" t="str">
        <x:v>1.6T</x:v>
      </x:c>
      <x:c r="D187" s="98" t="n">
        <x:v>5</x:v>
      </x:c>
      <x:c r="E187" s="98" t="n">
        <x:v>25</x:v>
      </x:c>
      <x:c r="F187" s="95" t="str">
        <x:v>件/阵列</x:v>
      </x:c>
      <x:c r="G187" s="95" t="str">
        <x:v>行业建模区间</x:v>
      </x:c>
      <x:c r="H187" s="95" t="str">
        <x:v>S16;S38;S46</x:v>
      </x:c>
      <x:c r="I187" s="95" t="str">
        <x:v>低</x:v>
      </x:c>
      <x:c r="J187" s="95" t="str">
        <x:v>由公开BOM样本、历史价格锚点及模块ASP约束形成的情景区间</x:v>
      </x:c>
    </x:row>
    <x:row r="188">
      <x:c r="A188" s="95" t="str">
        <x:v>C061</x:v>
      </x:c>
      <x:c r="B188" s="95" t="str">
        <x:v>激光器/PD Submount</x:v>
      </x:c>
      <x:c r="C188" s="95" t="str">
        <x:v>3.2T</x:v>
      </x:c>
      <x:c r="D188" s="98" t="n">
        <x:v>10</x:v>
      </x:c>
      <x:c r="E188" s="98" t="n">
        <x:v>50</x:v>
      </x:c>
      <x:c r="F188" s="95" t="str">
        <x:v>件/阵列</x:v>
      </x:c>
      <x:c r="G188" s="95" t="str">
        <x:v>行业建模区间</x:v>
      </x:c>
      <x:c r="H188" s="95" t="str">
        <x:v>S16;S38</x:v>
      </x:c>
      <x:c r="I188" s="95" t="str">
        <x:v>低</x:v>
      </x:c>
      <x:c r="J188" s="95" t="str">
        <x:v>由公开BOM样本、历史价格锚点及模块ASP约束形成的情景区间</x:v>
      </x:c>
    </x:row>
    <x:row r="189">
      <x:c r="A189" s="95" t="str">
        <x:v>C062</x:v>
      </x:c>
      <x:c r="B189" s="95" t="str">
        <x:v>微凸点/焊球</x:v>
      </x:c>
      <x:c r="C189" s="95" t="str">
        <x:v>400G</x:v>
      </x:c>
      <x:c r="D189" s="98" t="n">
        <x:v>1</x:v>
      </x:c>
      <x:c r="E189" s="98" t="n">
        <x:v>8</x:v>
      </x:c>
      <x:c r="F189" s="95" t="str">
        <x:v>阵列/工艺</x:v>
      </x:c>
      <x:c r="G189" s="95" t="str">
        <x:v>行业建模区间</x:v>
      </x:c>
      <x:c r="H189" s="95" t="str">
        <x:v>S16;S38;S46</x:v>
      </x:c>
      <x:c r="I189" s="95" t="str">
        <x:v>低</x:v>
      </x:c>
      <x:c r="J189" s="95" t="str">
        <x:v>由公开BOM样本、历史价格锚点及模块ASP约束形成的情景区间</x:v>
      </x:c>
    </x:row>
    <x:row r="190">
      <x:c r="A190" s="95" t="str">
        <x:v>C062</x:v>
      </x:c>
      <x:c r="B190" s="95" t="str">
        <x:v>微凸点/焊球</x:v>
      </x:c>
      <x:c r="C190" s="95" t="str">
        <x:v>800G</x:v>
      </x:c>
      <x:c r="D190" s="98" t="n">
        <x:v>2</x:v>
      </x:c>
      <x:c r="E190" s="98" t="n">
        <x:v>12</x:v>
      </x:c>
      <x:c r="F190" s="95" t="str">
        <x:v>阵列/工艺</x:v>
      </x:c>
      <x:c r="G190" s="95" t="str">
        <x:v>行业建模区间</x:v>
      </x:c>
      <x:c r="H190" s="95" t="str">
        <x:v>S16;S38;S46</x:v>
      </x:c>
      <x:c r="I190" s="95" t="str">
        <x:v>低</x:v>
      </x:c>
      <x:c r="J190" s="95" t="str">
        <x:v>由公开BOM样本、历史价格锚点及模块ASP约束形成的情景区间</x:v>
      </x:c>
    </x:row>
    <x:row r="191">
      <x:c r="A191" s="95" t="str">
        <x:v>C062</x:v>
      </x:c>
      <x:c r="B191" s="95" t="str">
        <x:v>微凸点/焊球</x:v>
      </x:c>
      <x:c r="C191" s="95" t="str">
        <x:v>1.6T</x:v>
      </x:c>
      <x:c r="D191" s="98" t="n">
        <x:v>3</x:v>
      </x:c>
      <x:c r="E191" s="98" t="n">
        <x:v>20</x:v>
      </x:c>
      <x:c r="F191" s="95" t="str">
        <x:v>阵列/工艺</x:v>
      </x:c>
      <x:c r="G191" s="95" t="str">
        <x:v>行业建模区间</x:v>
      </x:c>
      <x:c r="H191" s="95" t="str">
        <x:v>S16;S38;S46</x:v>
      </x:c>
      <x:c r="I191" s="95" t="str">
        <x:v>低</x:v>
      </x:c>
      <x:c r="J191" s="95" t="str">
        <x:v>由公开BOM样本、历史价格锚点及模块ASP约束形成的情景区间</x:v>
      </x:c>
    </x:row>
    <x:row r="192">
      <x:c r="A192" s="95" t="str">
        <x:v>C062</x:v>
      </x:c>
      <x:c r="B192" s="95" t="str">
        <x:v>微凸点/焊球</x:v>
      </x:c>
      <x:c r="C192" s="95" t="str">
        <x:v>3.2T</x:v>
      </x:c>
      <x:c r="D192" s="98" t="n">
        <x:v>5</x:v>
      </x:c>
      <x:c r="E192" s="98" t="n">
        <x:v>40</x:v>
      </x:c>
      <x:c r="F192" s="95" t="str">
        <x:v>阵列/工艺</x:v>
      </x:c>
      <x:c r="G192" s="95" t="str">
        <x:v>行业建模区间</x:v>
      </x:c>
      <x:c r="H192" s="95" t="str">
        <x:v>S16;S38</x:v>
      </x:c>
      <x:c r="I192" s="95" t="str">
        <x:v>低</x:v>
      </x:c>
      <x:c r="J192" s="95" t="str">
        <x:v>由公开BOM样本、历史价格锚点及模块ASP约束形成的情景区间</x:v>
      </x:c>
    </x:row>
    <x:row r="193">
      <x:c r="A193" s="95" t="str">
        <x:v>C063</x:v>
      </x:c>
      <x:c r="B193" s="95" t="str">
        <x:v>金线/铜线/Ribbon Bond</x:v>
      </x:c>
      <x:c r="C193" s="95" t="str">
        <x:v>400G</x:v>
      </x:c>
      <x:c r="D193" s="98" t="n">
        <x:v>1</x:v>
      </x:c>
      <x:c r="E193" s="98" t="n">
        <x:v>5</x:v>
      </x:c>
      <x:c r="F193" s="95" t="str">
        <x:v>组/工艺</x:v>
      </x:c>
      <x:c r="G193" s="95" t="str">
        <x:v>行业建模区间</x:v>
      </x:c>
      <x:c r="H193" s="95" t="str">
        <x:v>S16;S38;S46</x:v>
      </x:c>
      <x:c r="I193" s="95" t="str">
        <x:v>低</x:v>
      </x:c>
      <x:c r="J193" s="95" t="str">
        <x:v>由公开BOM样本、历史价格锚点及模块ASP约束形成的情景区间</x:v>
      </x:c>
    </x:row>
    <x:row r="194">
      <x:c r="A194" s="95" t="str">
        <x:v>C063</x:v>
      </x:c>
      <x:c r="B194" s="95" t="str">
        <x:v>金线/铜线/Ribbon Bond</x:v>
      </x:c>
      <x:c r="C194" s="95" t="str">
        <x:v>800G</x:v>
      </x:c>
      <x:c r="D194" s="98" t="n">
        <x:v>1</x:v>
      </x:c>
      <x:c r="E194" s="98" t="n">
        <x:v>8</x:v>
      </x:c>
      <x:c r="F194" s="95" t="str">
        <x:v>组/工艺</x:v>
      </x:c>
      <x:c r="G194" s="95" t="str">
        <x:v>行业建模区间</x:v>
      </x:c>
      <x:c r="H194" s="95" t="str">
        <x:v>S16;S38;S46</x:v>
      </x:c>
      <x:c r="I194" s="95" t="str">
        <x:v>低</x:v>
      </x:c>
      <x:c r="J194" s="95" t="str">
        <x:v>由公开BOM样本、历史价格锚点及模块ASP约束形成的情景区间</x:v>
      </x:c>
    </x:row>
    <x:row r="195">
      <x:c r="A195" s="95" t="str">
        <x:v>C063</x:v>
      </x:c>
      <x:c r="B195" s="95" t="str">
        <x:v>金线/铜线/Ribbon Bond</x:v>
      </x:c>
      <x:c r="C195" s="95" t="str">
        <x:v>1.6T</x:v>
      </x:c>
      <x:c r="D195" s="98" t="n">
        <x:v>2</x:v>
      </x:c>
      <x:c r="E195" s="98" t="n">
        <x:v>12</x:v>
      </x:c>
      <x:c r="F195" s="95" t="str">
        <x:v>组/工艺</x:v>
      </x:c>
      <x:c r="G195" s="95" t="str">
        <x:v>行业建模区间</x:v>
      </x:c>
      <x:c r="H195" s="95" t="str">
        <x:v>S16;S38;S46</x:v>
      </x:c>
      <x:c r="I195" s="95" t="str">
        <x:v>低</x:v>
      </x:c>
      <x:c r="J195" s="95" t="str">
        <x:v>由公开BOM样本、历史价格锚点及模块ASP约束形成的情景区间</x:v>
      </x:c>
    </x:row>
    <x:row r="196">
      <x:c r="A196" s="96" t="str">
        <x:v>C063</x:v>
      </x:c>
      <x:c r="B196" s="96" t="str">
        <x:v>金线/铜线/Ribbon Bond</x:v>
      </x:c>
      <x:c r="C196" s="96" t="str">
        <x:v>3.2T</x:v>
      </x:c>
      <x:c r="D196" s="99" t="n">
        <x:v>3</x:v>
      </x:c>
      <x:c r="E196" s="99" t="n">
        <x:v>20</x:v>
      </x:c>
      <x:c r="F196" s="96" t="str">
        <x:v>组/工艺</x:v>
      </x:c>
      <x:c r="G196" s="96" t="str">
        <x:v>行业建模区间</x:v>
      </x:c>
      <x:c r="H196" s="96" t="str">
        <x:v>S16;S38</x:v>
      </x:c>
      <x:c r="I196" s="96" t="str">
        <x:v>低</x:v>
      </x:c>
      <x:c r="J196" s="96" t="str">
        <x:v>由公开BOM样本、历史价格锚点及模块ASP约束形成的情景区间</x:v>
      </x:c>
    </x:row>
  </x:sheetData>
  <x:conditionalFormatting sqref="A5:J196">
    <x:cfRule type="expression" dxfId="2" priority="1">
      <x:formula>MOD(ROW(),2)=1</x:formula>
    </x:cfRule>
  </x:conditionalFormatting>
  <x:pageMargins left="0.7" right="0.7" top="0.75" bottom="0.75" header="0.3" footer="0.3"/>
</x:worksheet>
</file>